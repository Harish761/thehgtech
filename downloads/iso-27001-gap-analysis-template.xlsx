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Assessment" sheetId="1" state="visible" r:id="rId1"/>
    <sheet name="Gap Scoring Matrix" sheetId="2" state="visible" r:id="rId2"/>
    <sheet name="Remediation Tracker" sheetId="3" state="visible" r:id="rId3"/>
    <sheet name="Evidence Checklist" sheetId="4" state="visible" r:id="rId4"/>
    <sheet name="2013-2022 Mapping" sheetId="5" state="visible" r:id="rId5"/>
    <sheet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</font>
    <font>
      <b val="1"/>
      <sz val="16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00D9FF"/>
        <bgColor rgb="0000D9FF"/>
      </patternFill>
    </fill>
    <fill>
      <patternFill patternType="solid">
        <fgColor rgb="003B82F6"/>
        <bgColor rgb="003B82F6"/>
      </patternFill>
    </fill>
    <fill>
      <patternFill patternType="solid">
        <fgColor rgb="0030D158"/>
        <bgColor rgb="0030D158"/>
      </patternFill>
    </fill>
    <fill>
      <patternFill patternType="solid">
        <fgColor rgb="00FF9500"/>
        <bgColor rgb="00FF9500"/>
      </patternFill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18" customWidth="1" min="5" max="5"/>
    <col width="15" customWidth="1" min="6" max="6"/>
    <col width="18" customWidth="1" min="7" max="7"/>
    <col width="30" customWidth="1" min="8" max="8"/>
    <col width="30" customWidth="1" min="9" max="9"/>
    <col width="35" customWidth="1" min="10" max="10"/>
    <col width="15" customWidth="1" min="11" max="11"/>
    <col width="12" customWidth="1" min="12" max="12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Theme</t>
        </is>
      </c>
      <c r="D1" s="1" t="inlineStr">
        <is>
          <t>Implementation Status</t>
        </is>
      </c>
      <c r="E1" s="1" t="inlineStr">
        <is>
          <t>Evidence Quality</t>
        </is>
      </c>
      <c r="F1" s="1" t="inlineStr">
        <is>
          <t>Gap Severity</t>
        </is>
      </c>
      <c r="G1" s="1" t="inlineStr">
        <is>
          <t>Remediation Effort</t>
        </is>
      </c>
      <c r="H1" s="1" t="inlineStr">
        <is>
          <t>Current Evidence</t>
        </is>
      </c>
      <c r="I1" s="1" t="inlineStr">
        <is>
          <t>Gap Description</t>
        </is>
      </c>
      <c r="J1" s="1" t="inlineStr">
        <is>
          <t>Remediation Action</t>
        </is>
      </c>
      <c r="K1" s="1" t="inlineStr">
        <is>
          <t>Owner</t>
        </is>
      </c>
      <c r="L1" s="1" t="inlineStr">
        <is>
          <t>Target Date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3" t="inlineStr">
        <is>
          <t>Organizational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A.5.2</t>
        </is>
      </c>
      <c r="B3" s="2" t="inlineStr">
        <is>
          <t>Information security roles and responsibilities</t>
        </is>
      </c>
      <c r="C3" s="3" t="inlineStr">
        <is>
          <t>Organizational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A.5.3</t>
        </is>
      </c>
      <c r="B4" s="2" t="inlineStr">
        <is>
          <t>Segregation of duties</t>
        </is>
      </c>
      <c r="C4" s="3" t="inlineStr">
        <is>
          <t>Organizational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A.5.4</t>
        </is>
      </c>
      <c r="B5" s="2" t="inlineStr">
        <is>
          <t>Management responsibilities</t>
        </is>
      </c>
      <c r="C5" s="3" t="inlineStr">
        <is>
          <t>Organizational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A.5.5</t>
        </is>
      </c>
      <c r="B6" s="2" t="inlineStr">
        <is>
          <t>Contact with authorities</t>
        </is>
      </c>
      <c r="C6" s="3" t="inlineStr">
        <is>
          <t>Organizational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A.5.6</t>
        </is>
      </c>
      <c r="B7" s="2" t="inlineStr">
        <is>
          <t>Contact with special interest groups</t>
        </is>
      </c>
      <c r="C7" s="3" t="inlineStr">
        <is>
          <t>Organizational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A.5.7</t>
        </is>
      </c>
      <c r="B8" s="2" t="inlineStr">
        <is>
          <t>Threat intelligence</t>
        </is>
      </c>
      <c r="C8" s="3" t="inlineStr">
        <is>
          <t>Organizational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A.5.8</t>
        </is>
      </c>
      <c r="B9" s="2" t="inlineStr">
        <is>
          <t>Information security in project management</t>
        </is>
      </c>
      <c r="C9" s="3" t="inlineStr">
        <is>
          <t>Organizational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A.5.9</t>
        </is>
      </c>
      <c r="B10" s="2" t="inlineStr">
        <is>
          <t>Inventory of information and other associated assets</t>
        </is>
      </c>
      <c r="C10" s="3" t="inlineStr">
        <is>
          <t>Organizational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A.5.10</t>
        </is>
      </c>
      <c r="B11" s="2" t="inlineStr">
        <is>
          <t>Acceptable use of information and other associated assets</t>
        </is>
      </c>
      <c r="C11" s="3" t="inlineStr">
        <is>
          <t>Organizational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A.5.11</t>
        </is>
      </c>
      <c r="B12" s="2" t="inlineStr">
        <is>
          <t>Return of assets</t>
        </is>
      </c>
      <c r="C12" s="3" t="inlineStr">
        <is>
          <t>Organizational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A.5.12</t>
        </is>
      </c>
      <c r="B13" s="2" t="inlineStr">
        <is>
          <t>Classification of information</t>
        </is>
      </c>
      <c r="C13" s="3" t="inlineStr">
        <is>
          <t>Organizational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A.5.13</t>
        </is>
      </c>
      <c r="B14" s="2" t="inlineStr">
        <is>
          <t>Labelling of information</t>
        </is>
      </c>
      <c r="C14" s="3" t="inlineStr">
        <is>
          <t>Organizational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A.5.14</t>
        </is>
      </c>
      <c r="B15" s="2" t="inlineStr">
        <is>
          <t>Information transfer</t>
        </is>
      </c>
      <c r="C15" s="3" t="inlineStr">
        <is>
          <t>Organizational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A.5.15</t>
        </is>
      </c>
      <c r="B16" s="2" t="inlineStr">
        <is>
          <t>Access control</t>
        </is>
      </c>
      <c r="C16" s="3" t="inlineStr">
        <is>
          <t>Organizational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A.5.16</t>
        </is>
      </c>
      <c r="B17" s="2" t="inlineStr">
        <is>
          <t>Identity management</t>
        </is>
      </c>
      <c r="C17" s="3" t="inlineStr">
        <is>
          <t>Organizational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A.5.17</t>
        </is>
      </c>
      <c r="B18" s="2" t="inlineStr">
        <is>
          <t>Authentication information</t>
        </is>
      </c>
      <c r="C18" s="3" t="inlineStr">
        <is>
          <t>Organizational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A.5.18</t>
        </is>
      </c>
      <c r="B19" s="2" t="inlineStr">
        <is>
          <t>Access rights</t>
        </is>
      </c>
      <c r="C19" s="3" t="inlineStr">
        <is>
          <t>Organizational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A.5.19</t>
        </is>
      </c>
      <c r="B20" s="2" t="inlineStr">
        <is>
          <t>Information security in supplier relationships</t>
        </is>
      </c>
      <c r="C20" s="3" t="inlineStr">
        <is>
          <t>Organizational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A.5.20</t>
        </is>
      </c>
      <c r="B21" s="2" t="inlineStr">
        <is>
          <t>Addressing information security within supplier agreements</t>
        </is>
      </c>
      <c r="C21" s="3" t="inlineStr">
        <is>
          <t>Organizational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A.5.21</t>
        </is>
      </c>
      <c r="B22" s="2" t="inlineStr">
        <is>
          <t>Managing information security in the ICT supply chain</t>
        </is>
      </c>
      <c r="C22" s="3" t="inlineStr">
        <is>
          <t>Organizational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A.5.22</t>
        </is>
      </c>
      <c r="B23" s="2" t="inlineStr">
        <is>
          <t>Monitoring, review and change management of supplier services</t>
        </is>
      </c>
      <c r="C23" s="3" t="inlineStr">
        <is>
          <t>Organizational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A.5.23</t>
        </is>
      </c>
      <c r="B24" s="2" t="inlineStr">
        <is>
          <t>Information security for use of cloud services</t>
        </is>
      </c>
      <c r="C24" s="3" t="inlineStr">
        <is>
          <t>Organizational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A.5.24</t>
        </is>
      </c>
      <c r="B25" s="2" t="inlineStr">
        <is>
          <t>Information security incident management planning and preparation</t>
        </is>
      </c>
      <c r="C25" s="3" t="inlineStr">
        <is>
          <t>Organizational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A.5.25</t>
        </is>
      </c>
      <c r="B26" s="2" t="inlineStr">
        <is>
          <t>Assessment and decision on information security events</t>
        </is>
      </c>
      <c r="C26" s="3" t="inlineStr">
        <is>
          <t>Organizational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A.5.26</t>
        </is>
      </c>
      <c r="B27" s="2" t="inlineStr">
        <is>
          <t>Response to information security incidents</t>
        </is>
      </c>
      <c r="C27" s="3" t="inlineStr">
        <is>
          <t>Organizational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A.5.27</t>
        </is>
      </c>
      <c r="B28" s="2" t="inlineStr">
        <is>
          <t>Learning from information security incidents</t>
        </is>
      </c>
      <c r="C28" s="3" t="inlineStr">
        <is>
          <t>Organizational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A.5.28</t>
        </is>
      </c>
      <c r="B29" s="2" t="inlineStr">
        <is>
          <t>Collection of evidence</t>
        </is>
      </c>
      <c r="C29" s="3" t="inlineStr">
        <is>
          <t>Organizational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inlineStr">
        <is>
          <t>A.5.29</t>
        </is>
      </c>
      <c r="B30" s="2" t="inlineStr">
        <is>
          <t>Information security during disruption</t>
        </is>
      </c>
      <c r="C30" s="3" t="inlineStr">
        <is>
          <t>Organizational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inlineStr">
        <is>
          <t>A.5.30</t>
        </is>
      </c>
      <c r="B31" s="2" t="inlineStr">
        <is>
          <t>ICT readiness for business continuity</t>
        </is>
      </c>
      <c r="C31" s="3" t="inlineStr">
        <is>
          <t>Organizational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A.5.31</t>
        </is>
      </c>
      <c r="B32" s="2" t="inlineStr">
        <is>
          <t>Legal, statutory, regulatory and contractual requirements</t>
        </is>
      </c>
      <c r="C32" s="3" t="inlineStr">
        <is>
          <t>Organizational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A.5.32</t>
        </is>
      </c>
      <c r="B33" s="2" t="inlineStr">
        <is>
          <t>Intellectual property rights</t>
        </is>
      </c>
      <c r="C33" s="3" t="inlineStr">
        <is>
          <t>Organizational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inlineStr">
        <is>
          <t>A.5.33</t>
        </is>
      </c>
      <c r="B34" s="2" t="inlineStr">
        <is>
          <t>Protection of records</t>
        </is>
      </c>
      <c r="C34" s="3" t="inlineStr">
        <is>
          <t>Organizational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inlineStr">
        <is>
          <t>A.5.34</t>
        </is>
      </c>
      <c r="B35" s="2" t="inlineStr">
        <is>
          <t>Privacy and protection of PII</t>
        </is>
      </c>
      <c r="C35" s="3" t="inlineStr">
        <is>
          <t>Organizational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A.5.35</t>
        </is>
      </c>
      <c r="B36" s="2" t="inlineStr">
        <is>
          <t>Independent review of information security</t>
        </is>
      </c>
      <c r="C36" s="3" t="inlineStr">
        <is>
          <t>Organizational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A.5.36</t>
        </is>
      </c>
      <c r="B37" s="2" t="inlineStr">
        <is>
          <t>Compliance with policies, rules and standards for information security</t>
        </is>
      </c>
      <c r="C37" s="3" t="inlineStr">
        <is>
          <t>Organizational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A.5.37</t>
        </is>
      </c>
      <c r="B38" s="2" t="inlineStr">
        <is>
          <t>Documented operating procedures</t>
        </is>
      </c>
      <c r="C38" s="3" t="inlineStr">
        <is>
          <t>Organizational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A.6.1</t>
        </is>
      </c>
      <c r="B39" s="2" t="inlineStr">
        <is>
          <t>Screening</t>
        </is>
      </c>
      <c r="C39" s="4" t="inlineStr">
        <is>
          <t>People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A.6.2</t>
        </is>
      </c>
      <c r="B40" s="2" t="inlineStr">
        <is>
          <t>Terms and conditions of employment</t>
        </is>
      </c>
      <c r="C40" s="4" t="inlineStr">
        <is>
          <t>People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A.6.3</t>
        </is>
      </c>
      <c r="B41" s="2" t="inlineStr">
        <is>
          <t>Information security awareness, education and training</t>
        </is>
      </c>
      <c r="C41" s="4" t="inlineStr">
        <is>
          <t>People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A.6.4</t>
        </is>
      </c>
      <c r="B42" s="2" t="inlineStr">
        <is>
          <t>Disciplinary process</t>
        </is>
      </c>
      <c r="C42" s="4" t="inlineStr">
        <is>
          <t>People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A.6.5</t>
        </is>
      </c>
      <c r="B43" s="2" t="inlineStr">
        <is>
          <t>Responsibilities after termination or change of employment</t>
        </is>
      </c>
      <c r="C43" s="4" t="inlineStr">
        <is>
          <t>People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A.6.6</t>
        </is>
      </c>
      <c r="B44" s="2" t="inlineStr">
        <is>
          <t>Confidentiality or non-disclosure agreements</t>
        </is>
      </c>
      <c r="C44" s="4" t="inlineStr">
        <is>
          <t>People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A.6.7</t>
        </is>
      </c>
      <c r="B45" s="2" t="inlineStr">
        <is>
          <t>Remote working</t>
        </is>
      </c>
      <c r="C45" s="4" t="inlineStr">
        <is>
          <t>People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A.6.8</t>
        </is>
      </c>
      <c r="B46" s="2" t="inlineStr">
        <is>
          <t>Information security event reporting</t>
        </is>
      </c>
      <c r="C46" s="4" t="inlineStr">
        <is>
          <t>People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A.7.1</t>
        </is>
      </c>
      <c r="B47" s="2" t="inlineStr">
        <is>
          <t>Physical security perimeters</t>
        </is>
      </c>
      <c r="C47" s="5" t="inlineStr">
        <is>
          <t>Physical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A.7.2</t>
        </is>
      </c>
      <c r="B48" s="2" t="inlineStr">
        <is>
          <t>Physical entry</t>
        </is>
      </c>
      <c r="C48" s="5" t="inlineStr">
        <is>
          <t>Physical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A.7.3</t>
        </is>
      </c>
      <c r="B49" s="2" t="inlineStr">
        <is>
          <t>Securing offices, rooms and facilities</t>
        </is>
      </c>
      <c r="C49" s="5" t="inlineStr">
        <is>
          <t>Physical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inlineStr">
        <is>
          <t>A.7.4</t>
        </is>
      </c>
      <c r="B50" s="2" t="inlineStr">
        <is>
          <t>Physical security monitoring</t>
        </is>
      </c>
      <c r="C50" s="5" t="inlineStr">
        <is>
          <t>Physical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inlineStr">
        <is>
          <t>A.7.5</t>
        </is>
      </c>
      <c r="B51" s="2" t="inlineStr">
        <is>
          <t>Protecting against physical and environmental threats</t>
        </is>
      </c>
      <c r="C51" s="5" t="inlineStr">
        <is>
          <t>Physical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inlineStr">
        <is>
          <t>A.7.6</t>
        </is>
      </c>
      <c r="B52" s="2" t="inlineStr">
        <is>
          <t>Working in secure areas</t>
        </is>
      </c>
      <c r="C52" s="5" t="inlineStr">
        <is>
          <t>Physical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inlineStr">
        <is>
          <t>A.7.7</t>
        </is>
      </c>
      <c r="B53" s="2" t="inlineStr">
        <is>
          <t>Clear desk and clear screen</t>
        </is>
      </c>
      <c r="C53" s="5" t="inlineStr">
        <is>
          <t>Physical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A.7.8</t>
        </is>
      </c>
      <c r="B54" s="2" t="inlineStr">
        <is>
          <t>Equipment siting and protection</t>
        </is>
      </c>
      <c r="C54" s="5" t="inlineStr">
        <is>
          <t>Physical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inlineStr">
        <is>
          <t>A.7.9</t>
        </is>
      </c>
      <c r="B55" s="2" t="inlineStr">
        <is>
          <t>Security of assets off-premises</t>
        </is>
      </c>
      <c r="C55" s="5" t="inlineStr">
        <is>
          <t>Physical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inlineStr">
        <is>
          <t>A.7.10</t>
        </is>
      </c>
      <c r="B56" s="2" t="inlineStr">
        <is>
          <t>Storage media</t>
        </is>
      </c>
      <c r="C56" s="5" t="inlineStr">
        <is>
          <t>Physical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A.7.11</t>
        </is>
      </c>
      <c r="B57" s="2" t="inlineStr">
        <is>
          <t>Supporting utilities</t>
        </is>
      </c>
      <c r="C57" s="5" t="inlineStr">
        <is>
          <t>Physical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inlineStr">
        <is>
          <t>A.7.12</t>
        </is>
      </c>
      <c r="B58" s="2" t="inlineStr">
        <is>
          <t>Cabling security</t>
        </is>
      </c>
      <c r="C58" s="5" t="inlineStr">
        <is>
          <t>Physical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inlineStr">
        <is>
          <t>A.7.13</t>
        </is>
      </c>
      <c r="B59" s="2" t="inlineStr">
        <is>
          <t>Equipment maintenance</t>
        </is>
      </c>
      <c r="C59" s="5" t="inlineStr">
        <is>
          <t>Physical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inlineStr">
        <is>
          <t>A.7.14</t>
        </is>
      </c>
      <c r="B60" s="2" t="inlineStr">
        <is>
          <t>Secure disposal or re-use of equipment</t>
        </is>
      </c>
      <c r="C60" s="5" t="inlineStr">
        <is>
          <t>Physical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inlineStr">
        <is>
          <t>A.8.1</t>
        </is>
      </c>
      <c r="B61" s="2" t="inlineStr">
        <is>
          <t>User endpoint devices</t>
        </is>
      </c>
      <c r="C61" s="6" t="inlineStr">
        <is>
          <t>Technological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inlineStr">
        <is>
          <t>A.8.2</t>
        </is>
      </c>
      <c r="B62" s="2" t="inlineStr">
        <is>
          <t>Privileged access rights</t>
        </is>
      </c>
      <c r="C62" s="6" t="inlineStr">
        <is>
          <t>Technological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inlineStr">
        <is>
          <t>A.8.3</t>
        </is>
      </c>
      <c r="B63" s="2" t="inlineStr">
        <is>
          <t>Information access restriction</t>
        </is>
      </c>
      <c r="C63" s="6" t="inlineStr">
        <is>
          <t>Technological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inlineStr">
        <is>
          <t>A.8.4</t>
        </is>
      </c>
      <c r="B64" s="2" t="inlineStr">
        <is>
          <t>Access to source code</t>
        </is>
      </c>
      <c r="C64" s="6" t="inlineStr">
        <is>
          <t>Technological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inlineStr">
        <is>
          <t>A.8.5</t>
        </is>
      </c>
      <c r="B65" s="2" t="inlineStr">
        <is>
          <t>Secure authentication</t>
        </is>
      </c>
      <c r="C65" s="6" t="inlineStr">
        <is>
          <t>Technological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A.8.6</t>
        </is>
      </c>
      <c r="B66" s="2" t="inlineStr">
        <is>
          <t>Capacity management</t>
        </is>
      </c>
      <c r="C66" s="6" t="inlineStr">
        <is>
          <t>Technological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A.8.7</t>
        </is>
      </c>
      <c r="B67" s="2" t="inlineStr">
        <is>
          <t>Protection against malware</t>
        </is>
      </c>
      <c r="C67" s="6" t="inlineStr">
        <is>
          <t>Technological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A.8.8</t>
        </is>
      </c>
      <c r="B68" s="2" t="inlineStr">
        <is>
          <t>Management of technical vulnerabilities</t>
        </is>
      </c>
      <c r="C68" s="6" t="inlineStr">
        <is>
          <t>Technological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inlineStr">
        <is>
          <t>A.8.9</t>
        </is>
      </c>
      <c r="B69" s="2" t="inlineStr">
        <is>
          <t>Configuration management</t>
        </is>
      </c>
      <c r="C69" s="6" t="inlineStr">
        <is>
          <t>Technological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inlineStr">
        <is>
          <t>A.8.10</t>
        </is>
      </c>
      <c r="B70" s="2" t="inlineStr">
        <is>
          <t>Information deletion</t>
        </is>
      </c>
      <c r="C70" s="6" t="inlineStr">
        <is>
          <t>Technological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inlineStr">
        <is>
          <t>A.8.11</t>
        </is>
      </c>
      <c r="B71" s="2" t="inlineStr">
        <is>
          <t>Data masking</t>
        </is>
      </c>
      <c r="C71" s="6" t="inlineStr">
        <is>
          <t>Technological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inlineStr">
        <is>
          <t>A.8.12</t>
        </is>
      </c>
      <c r="B72" s="2" t="inlineStr">
        <is>
          <t>Data leakage prevention</t>
        </is>
      </c>
      <c r="C72" s="6" t="inlineStr">
        <is>
          <t>Technological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inlineStr">
        <is>
          <t>A.8.13</t>
        </is>
      </c>
      <c r="B73" s="2" t="inlineStr">
        <is>
          <t>Information backup</t>
        </is>
      </c>
      <c r="C73" s="6" t="inlineStr">
        <is>
          <t>Technological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inlineStr">
        <is>
          <t>A.8.14</t>
        </is>
      </c>
      <c r="B74" s="2" t="inlineStr">
        <is>
          <t>Redundancy of information processing facilities</t>
        </is>
      </c>
      <c r="C74" s="6" t="inlineStr">
        <is>
          <t>Technological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inlineStr">
        <is>
          <t>A.8.15</t>
        </is>
      </c>
      <c r="B75" s="2" t="inlineStr">
        <is>
          <t>Logging</t>
        </is>
      </c>
      <c r="C75" s="6" t="inlineStr">
        <is>
          <t>Technological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inlineStr">
        <is>
          <t>A.8.16</t>
        </is>
      </c>
      <c r="B76" s="2" t="inlineStr">
        <is>
          <t>Monitoring activities</t>
        </is>
      </c>
      <c r="C76" s="6" t="inlineStr">
        <is>
          <t>Technological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inlineStr">
        <is>
          <t>A.8.17</t>
        </is>
      </c>
      <c r="B77" s="2" t="inlineStr">
        <is>
          <t>Clock synchronization</t>
        </is>
      </c>
      <c r="C77" s="6" t="inlineStr">
        <is>
          <t>Technological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inlineStr">
        <is>
          <t>A.8.18</t>
        </is>
      </c>
      <c r="B78" s="2" t="inlineStr">
        <is>
          <t>Use of privileged utility programs</t>
        </is>
      </c>
      <c r="C78" s="6" t="inlineStr">
        <is>
          <t>Technological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inlineStr">
        <is>
          <t>A.8.19</t>
        </is>
      </c>
      <c r="B79" s="2" t="inlineStr">
        <is>
          <t>Installation of software on operational systems</t>
        </is>
      </c>
      <c r="C79" s="6" t="inlineStr">
        <is>
          <t>Technological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inlineStr">
        <is>
          <t>A.8.20</t>
        </is>
      </c>
      <c r="B80" s="2" t="inlineStr">
        <is>
          <t>Networks security</t>
        </is>
      </c>
      <c r="C80" s="6" t="inlineStr">
        <is>
          <t>Technological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inlineStr">
        <is>
          <t>A.8.21</t>
        </is>
      </c>
      <c r="B81" s="2" t="inlineStr">
        <is>
          <t>Security of network services</t>
        </is>
      </c>
      <c r="C81" s="6" t="inlineStr">
        <is>
          <t>Technological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inlineStr">
        <is>
          <t>A.8.22</t>
        </is>
      </c>
      <c r="B82" s="2" t="inlineStr">
        <is>
          <t>Segregation of networks</t>
        </is>
      </c>
      <c r="C82" s="6" t="inlineStr">
        <is>
          <t>Technological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inlineStr">
        <is>
          <t>A.8.23</t>
        </is>
      </c>
      <c r="B83" s="2" t="inlineStr">
        <is>
          <t>Web filtering</t>
        </is>
      </c>
      <c r="C83" s="6" t="inlineStr">
        <is>
          <t>Technological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inlineStr">
        <is>
          <t>A.8.24</t>
        </is>
      </c>
      <c r="B84" s="2" t="inlineStr">
        <is>
          <t>Use of cryptography</t>
        </is>
      </c>
      <c r="C84" s="6" t="inlineStr">
        <is>
          <t>Technological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inlineStr">
        <is>
          <t>A.8.25</t>
        </is>
      </c>
      <c r="B85" s="2" t="inlineStr">
        <is>
          <t>Secure development life cycle</t>
        </is>
      </c>
      <c r="C85" s="6" t="inlineStr">
        <is>
          <t>Technological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inlineStr">
        <is>
          <t>A.8.26</t>
        </is>
      </c>
      <c r="B86" s="2" t="inlineStr">
        <is>
          <t>Application security requirements</t>
        </is>
      </c>
      <c r="C86" s="6" t="inlineStr">
        <is>
          <t>Technological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inlineStr">
        <is>
          <t>A.8.27</t>
        </is>
      </c>
      <c r="B87" s="2" t="inlineStr">
        <is>
          <t>Secure system architecture and engineering principles</t>
        </is>
      </c>
      <c r="C87" s="6" t="inlineStr">
        <is>
          <t>Technological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inlineStr">
        <is>
          <t>A.8.28</t>
        </is>
      </c>
      <c r="B88" s="2" t="inlineStr">
        <is>
          <t>Secure coding</t>
        </is>
      </c>
      <c r="C88" s="6" t="inlineStr">
        <is>
          <t>Technological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inlineStr">
        <is>
          <t>A.8.29</t>
        </is>
      </c>
      <c r="B89" s="2" t="inlineStr">
        <is>
          <t>Security testing in development and acceptance</t>
        </is>
      </c>
      <c r="C89" s="6" t="inlineStr">
        <is>
          <t>Technological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inlineStr">
        <is>
          <t>A.8.30</t>
        </is>
      </c>
      <c r="B90" s="2" t="inlineStr">
        <is>
          <t>Outsourced development</t>
        </is>
      </c>
      <c r="C90" s="6" t="inlineStr">
        <is>
          <t>Technological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inlineStr">
        <is>
          <t>A.8.31</t>
        </is>
      </c>
      <c r="B91" s="2" t="inlineStr">
        <is>
          <t>Separation of development, test and production environments</t>
        </is>
      </c>
      <c r="C91" s="6" t="inlineStr">
        <is>
          <t>Technological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inlineStr">
        <is>
          <t>A.8.32</t>
        </is>
      </c>
      <c r="B92" s="2" t="inlineStr">
        <is>
          <t>Change management</t>
        </is>
      </c>
      <c r="C92" s="6" t="inlineStr">
        <is>
          <t>Technological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inlineStr">
        <is>
          <t>A.8.33</t>
        </is>
      </c>
      <c r="B93" s="2" t="inlineStr">
        <is>
          <t>Test information</t>
        </is>
      </c>
      <c r="C93" s="6" t="inlineStr">
        <is>
          <t>Technological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inlineStr">
        <is>
          <t>A.8.34</t>
        </is>
      </c>
      <c r="B94" s="2" t="inlineStr">
        <is>
          <t>Protection of information systems during audit testing</t>
        </is>
      </c>
      <c r="C94" s="6" t="inlineStr">
        <is>
          <t>Technological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</sheetData>
  <dataValidations count="4">
    <dataValidation sqref="D2:D94" showDropDown="0" showInputMessage="0" showErrorMessage="0" allowBlank="0" type="list">
      <formula1>"Not Implemented,Partially Implemented,Fully Implemented,Not Applicable"</formula1>
    </dataValidation>
    <dataValidation sqref="E2:E94" showDropDown="0" showInputMessage="0" showErrorMessage="0" allowBlank="0" type="list">
      <formula1>"None,Informal,Documented,Proven Effective"</formula1>
    </dataValidation>
    <dataValidation sqref="F2:F94" showDropDown="0" showInputMessage="0" showErrorMessage="0" allowBlank="0" type="list">
      <formula1>"Critical,High,Medium,Low"</formula1>
    </dataValidation>
    <dataValidation sqref="G2:G94" showDropDown="0" showInputMessage="0" showErrorMessage="0" allowBlank="0" type="list">
      <formula1>"Quick Win,Moderate,Significant Project"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2" customWidth="1" min="5" max="5"/>
    <col width="15" customWidth="1" min="6" max="6"/>
    <col width="15" customWidth="1" min="7" max="7"/>
  </cols>
  <sheetData>
    <row r="1">
      <c r="A1" s="7" t="inlineStr">
        <is>
          <t>Control ID</t>
        </is>
      </c>
      <c r="B1" s="7" t="inlineStr">
        <is>
          <t>Risk Impact (1-5)</t>
        </is>
      </c>
      <c r="C1" s="7" t="inlineStr">
        <is>
          <t>Likelihood (1-5)</t>
        </is>
      </c>
      <c r="D1" s="7" t="inlineStr">
        <is>
          <t>Audit Probability (1-3)</t>
        </is>
      </c>
      <c r="E1" s="7" t="inlineStr">
        <is>
          <t>Implementation Effort (1-5)</t>
        </is>
      </c>
      <c r="F1" s="7" t="inlineStr">
        <is>
          <t>Priority Score</t>
        </is>
      </c>
      <c r="G1" s="7" t="inlineStr">
        <is>
          <t>Priority Level</t>
        </is>
      </c>
    </row>
    <row r="2">
      <c r="A2" s="2" t="inlineStr">
        <is>
          <t>A.5.1</t>
        </is>
      </c>
      <c r="B2" s="2" t="n"/>
      <c r="C2" s="2" t="n"/>
      <c r="D2" s="2" t="n"/>
      <c r="E2" s="2" t="n"/>
      <c r="F2" s="2">
        <f>(B2*C2)+D2-E2</f>
        <v/>
      </c>
      <c r="G2" s="2">
        <f>IF(F2&gt;=10,"Critical",IF(F2&gt;=6,"High",IF(F2&gt;=3,"Medium","Low")))</f>
        <v/>
      </c>
    </row>
    <row r="3">
      <c r="A3" s="2" t="inlineStr">
        <is>
          <t>A.5.2</t>
        </is>
      </c>
      <c r="B3" s="2" t="n"/>
      <c r="C3" s="2" t="n"/>
      <c r="D3" s="2" t="n"/>
      <c r="E3" s="2" t="n"/>
      <c r="F3" s="2">
        <f>(B3*C3)+D3-E3</f>
        <v/>
      </c>
      <c r="G3" s="2">
        <f>IF(F3&gt;=10,"Critical",IF(F3&gt;=6,"High",IF(F3&gt;=3,"Medium","Low")))</f>
        <v/>
      </c>
    </row>
    <row r="4">
      <c r="A4" s="2" t="inlineStr">
        <is>
          <t>A.5.3</t>
        </is>
      </c>
      <c r="B4" s="2" t="n"/>
      <c r="C4" s="2" t="n"/>
      <c r="D4" s="2" t="n"/>
      <c r="E4" s="2" t="n"/>
      <c r="F4" s="2">
        <f>(B4*C4)+D4-E4</f>
        <v/>
      </c>
      <c r="G4" s="2">
        <f>IF(F4&gt;=10,"Critical",IF(F4&gt;=6,"High",IF(F4&gt;=3,"Medium","Low")))</f>
        <v/>
      </c>
    </row>
    <row r="5">
      <c r="A5" s="2" t="inlineStr">
        <is>
          <t>A.5.4</t>
        </is>
      </c>
      <c r="B5" s="2" t="n"/>
      <c r="C5" s="2" t="n"/>
      <c r="D5" s="2" t="n"/>
      <c r="E5" s="2" t="n"/>
      <c r="F5" s="2">
        <f>(B5*C5)+D5-E5</f>
        <v/>
      </c>
      <c r="G5" s="2">
        <f>IF(F5&gt;=10,"Critical",IF(F5&gt;=6,"High",IF(F5&gt;=3,"Medium","Low")))</f>
        <v/>
      </c>
    </row>
    <row r="6">
      <c r="A6" s="2" t="inlineStr">
        <is>
          <t>A.5.5</t>
        </is>
      </c>
      <c r="B6" s="2" t="n"/>
      <c r="C6" s="2" t="n"/>
      <c r="D6" s="2" t="n"/>
      <c r="E6" s="2" t="n"/>
      <c r="F6" s="2">
        <f>(B6*C6)+D6-E6</f>
        <v/>
      </c>
      <c r="G6" s="2">
        <f>IF(F6&gt;=10,"Critical",IF(F6&gt;=6,"High",IF(F6&gt;=3,"Medium","Low")))</f>
        <v/>
      </c>
    </row>
    <row r="7">
      <c r="A7" s="2" t="inlineStr">
        <is>
          <t>A.5.6</t>
        </is>
      </c>
      <c r="B7" s="2" t="n"/>
      <c r="C7" s="2" t="n"/>
      <c r="D7" s="2" t="n"/>
      <c r="E7" s="2" t="n"/>
      <c r="F7" s="2">
        <f>(B7*C7)+D7-E7</f>
        <v/>
      </c>
      <c r="G7" s="2">
        <f>IF(F7&gt;=10,"Critical",IF(F7&gt;=6,"High",IF(F7&gt;=3,"Medium","Low")))</f>
        <v/>
      </c>
    </row>
    <row r="8">
      <c r="A8" s="2" t="inlineStr">
        <is>
          <t>A.5.7</t>
        </is>
      </c>
      <c r="B8" s="2" t="n"/>
      <c r="C8" s="2" t="n"/>
      <c r="D8" s="2" t="n"/>
      <c r="E8" s="2" t="n"/>
      <c r="F8" s="2">
        <f>(B8*C8)+D8-E8</f>
        <v/>
      </c>
      <c r="G8" s="2">
        <f>IF(F8&gt;=10,"Critical",IF(F8&gt;=6,"High",IF(F8&gt;=3,"Medium","Low")))</f>
        <v/>
      </c>
    </row>
    <row r="9">
      <c r="A9" s="2" t="inlineStr">
        <is>
          <t>A.5.8</t>
        </is>
      </c>
      <c r="B9" s="2" t="n"/>
      <c r="C9" s="2" t="n"/>
      <c r="D9" s="2" t="n"/>
      <c r="E9" s="2" t="n"/>
      <c r="F9" s="2">
        <f>(B9*C9)+D9-E9</f>
        <v/>
      </c>
      <c r="G9" s="2">
        <f>IF(F9&gt;=10,"Critical",IF(F9&gt;=6,"High",IF(F9&gt;=3,"Medium","Low")))</f>
        <v/>
      </c>
    </row>
    <row r="10">
      <c r="A10" s="2" t="inlineStr">
        <is>
          <t>A.5.9</t>
        </is>
      </c>
      <c r="B10" s="2" t="n"/>
      <c r="C10" s="2" t="n"/>
      <c r="D10" s="2" t="n"/>
      <c r="E10" s="2" t="n"/>
      <c r="F10" s="2">
        <f>(B10*C10)+D10-E10</f>
        <v/>
      </c>
      <c r="G10" s="2">
        <f>IF(F10&gt;=10,"Critical",IF(F10&gt;=6,"High",IF(F10&gt;=3,"Medium","Low")))</f>
        <v/>
      </c>
    </row>
    <row r="11">
      <c r="A11" s="2" t="inlineStr">
        <is>
          <t>A.5.10</t>
        </is>
      </c>
      <c r="B11" s="2" t="n"/>
      <c r="C11" s="2" t="n"/>
      <c r="D11" s="2" t="n"/>
      <c r="E11" s="2" t="n"/>
      <c r="F11" s="2">
        <f>(B11*C11)+D11-E11</f>
        <v/>
      </c>
      <c r="G11" s="2">
        <f>IF(F11&gt;=10,"Critical",IF(F11&gt;=6,"High",IF(F11&gt;=3,"Medium","Low")))</f>
        <v/>
      </c>
    </row>
    <row r="12">
      <c r="A12" s="2" t="inlineStr">
        <is>
          <t>A.5.11</t>
        </is>
      </c>
      <c r="B12" s="2" t="n"/>
      <c r="C12" s="2" t="n"/>
      <c r="D12" s="2" t="n"/>
      <c r="E12" s="2" t="n"/>
      <c r="F12" s="2">
        <f>(B12*C12)+D12-E12</f>
        <v/>
      </c>
      <c r="G12" s="2">
        <f>IF(F12&gt;=10,"Critical",IF(F12&gt;=6,"High",IF(F12&gt;=3,"Medium","Low")))</f>
        <v/>
      </c>
    </row>
    <row r="13">
      <c r="A13" s="2" t="inlineStr">
        <is>
          <t>A.5.12</t>
        </is>
      </c>
      <c r="B13" s="2" t="n"/>
      <c r="C13" s="2" t="n"/>
      <c r="D13" s="2" t="n"/>
      <c r="E13" s="2" t="n"/>
      <c r="F13" s="2">
        <f>(B13*C13)+D13-E13</f>
        <v/>
      </c>
      <c r="G13" s="2">
        <f>IF(F13&gt;=10,"Critical",IF(F13&gt;=6,"High",IF(F13&gt;=3,"Medium","Low")))</f>
        <v/>
      </c>
    </row>
    <row r="14">
      <c r="A14" s="2" t="inlineStr">
        <is>
          <t>A.5.13</t>
        </is>
      </c>
      <c r="B14" s="2" t="n"/>
      <c r="C14" s="2" t="n"/>
      <c r="D14" s="2" t="n"/>
      <c r="E14" s="2" t="n"/>
      <c r="F14" s="2">
        <f>(B14*C14)+D14-E14</f>
        <v/>
      </c>
      <c r="G14" s="2">
        <f>IF(F14&gt;=10,"Critical",IF(F14&gt;=6,"High",IF(F14&gt;=3,"Medium","Low")))</f>
        <v/>
      </c>
    </row>
    <row r="15">
      <c r="A15" s="2" t="inlineStr">
        <is>
          <t>A.5.14</t>
        </is>
      </c>
      <c r="B15" s="2" t="n"/>
      <c r="C15" s="2" t="n"/>
      <c r="D15" s="2" t="n"/>
      <c r="E15" s="2" t="n"/>
      <c r="F15" s="2">
        <f>(B15*C15)+D15-E15</f>
        <v/>
      </c>
      <c r="G15" s="2">
        <f>IF(F15&gt;=10,"Critical",IF(F15&gt;=6,"High",IF(F15&gt;=3,"Medium","Low")))</f>
        <v/>
      </c>
    </row>
    <row r="16">
      <c r="A16" s="2" t="inlineStr">
        <is>
          <t>A.5.15</t>
        </is>
      </c>
      <c r="B16" s="2" t="n"/>
      <c r="C16" s="2" t="n"/>
      <c r="D16" s="2" t="n"/>
      <c r="E16" s="2" t="n"/>
      <c r="F16" s="2">
        <f>(B16*C16)+D16-E16</f>
        <v/>
      </c>
      <c r="G16" s="2">
        <f>IF(F16&gt;=10,"Critical",IF(F16&gt;=6,"High",IF(F16&gt;=3,"Medium","Low")))</f>
        <v/>
      </c>
    </row>
    <row r="17">
      <c r="A17" s="2" t="inlineStr">
        <is>
          <t>A.5.16</t>
        </is>
      </c>
      <c r="B17" s="2" t="n"/>
      <c r="C17" s="2" t="n"/>
      <c r="D17" s="2" t="n"/>
      <c r="E17" s="2" t="n"/>
      <c r="F17" s="2">
        <f>(B17*C17)+D17-E17</f>
        <v/>
      </c>
      <c r="G17" s="2">
        <f>IF(F17&gt;=10,"Critical",IF(F17&gt;=6,"High",IF(F17&gt;=3,"Medium","Low")))</f>
        <v/>
      </c>
    </row>
    <row r="18">
      <c r="A18" s="2" t="inlineStr">
        <is>
          <t>A.5.17</t>
        </is>
      </c>
      <c r="B18" s="2" t="n"/>
      <c r="C18" s="2" t="n"/>
      <c r="D18" s="2" t="n"/>
      <c r="E18" s="2" t="n"/>
      <c r="F18" s="2">
        <f>(B18*C18)+D18-E18</f>
        <v/>
      </c>
      <c r="G18" s="2">
        <f>IF(F18&gt;=10,"Critical",IF(F18&gt;=6,"High",IF(F18&gt;=3,"Medium","Low")))</f>
        <v/>
      </c>
    </row>
    <row r="19">
      <c r="A19" s="2" t="inlineStr">
        <is>
          <t>A.5.18</t>
        </is>
      </c>
      <c r="B19" s="2" t="n"/>
      <c r="C19" s="2" t="n"/>
      <c r="D19" s="2" t="n"/>
      <c r="E19" s="2" t="n"/>
      <c r="F19" s="2">
        <f>(B19*C19)+D19-E19</f>
        <v/>
      </c>
      <c r="G19" s="2">
        <f>IF(F19&gt;=10,"Critical",IF(F19&gt;=6,"High",IF(F19&gt;=3,"Medium","Low")))</f>
        <v/>
      </c>
    </row>
    <row r="20">
      <c r="A20" s="2" t="inlineStr">
        <is>
          <t>A.5.19</t>
        </is>
      </c>
      <c r="B20" s="2" t="n"/>
      <c r="C20" s="2" t="n"/>
      <c r="D20" s="2" t="n"/>
      <c r="E20" s="2" t="n"/>
      <c r="F20" s="2">
        <f>(B20*C20)+D20-E20</f>
        <v/>
      </c>
      <c r="G20" s="2">
        <f>IF(F20&gt;=10,"Critical",IF(F20&gt;=6,"High",IF(F20&gt;=3,"Medium","Low")))</f>
        <v/>
      </c>
    </row>
    <row r="21">
      <c r="A21" s="2" t="inlineStr">
        <is>
          <t>A.5.20</t>
        </is>
      </c>
      <c r="B21" s="2" t="n"/>
      <c r="C21" s="2" t="n"/>
      <c r="D21" s="2" t="n"/>
      <c r="E21" s="2" t="n"/>
      <c r="F21" s="2">
        <f>(B21*C21)+D21-E21</f>
        <v/>
      </c>
      <c r="G21" s="2">
        <f>IF(F21&gt;=10,"Critical",IF(F21&gt;=6,"High",IF(F21&gt;=3,"Medium","Low")))</f>
        <v/>
      </c>
    </row>
    <row r="22">
      <c r="A22" s="2" t="inlineStr">
        <is>
          <t>A.5.21</t>
        </is>
      </c>
      <c r="B22" s="2" t="n"/>
      <c r="C22" s="2" t="n"/>
      <c r="D22" s="2" t="n"/>
      <c r="E22" s="2" t="n"/>
      <c r="F22" s="2">
        <f>(B22*C22)+D22-E22</f>
        <v/>
      </c>
      <c r="G22" s="2">
        <f>IF(F22&gt;=10,"Critical",IF(F22&gt;=6,"High",IF(F22&gt;=3,"Medium","Low")))</f>
        <v/>
      </c>
    </row>
    <row r="23">
      <c r="A23" s="2" t="inlineStr">
        <is>
          <t>A.5.22</t>
        </is>
      </c>
      <c r="B23" s="2" t="n"/>
      <c r="C23" s="2" t="n"/>
      <c r="D23" s="2" t="n"/>
      <c r="E23" s="2" t="n"/>
      <c r="F23" s="2">
        <f>(B23*C23)+D23-E23</f>
        <v/>
      </c>
      <c r="G23" s="2">
        <f>IF(F23&gt;=10,"Critical",IF(F23&gt;=6,"High",IF(F23&gt;=3,"Medium","Low")))</f>
        <v/>
      </c>
    </row>
    <row r="24">
      <c r="A24" s="2" t="inlineStr">
        <is>
          <t>A.5.23</t>
        </is>
      </c>
      <c r="B24" s="2" t="n"/>
      <c r="C24" s="2" t="n"/>
      <c r="D24" s="2" t="n"/>
      <c r="E24" s="2" t="n"/>
      <c r="F24" s="2">
        <f>(B24*C24)+D24-E24</f>
        <v/>
      </c>
      <c r="G24" s="2">
        <f>IF(F24&gt;=10,"Critical",IF(F24&gt;=6,"High",IF(F24&gt;=3,"Medium","Low")))</f>
        <v/>
      </c>
    </row>
    <row r="25">
      <c r="A25" s="2" t="inlineStr">
        <is>
          <t>A.5.24</t>
        </is>
      </c>
      <c r="B25" s="2" t="n"/>
      <c r="C25" s="2" t="n"/>
      <c r="D25" s="2" t="n"/>
      <c r="E25" s="2" t="n"/>
      <c r="F25" s="2">
        <f>(B25*C25)+D25-E25</f>
        <v/>
      </c>
      <c r="G25" s="2">
        <f>IF(F25&gt;=10,"Critical",IF(F25&gt;=6,"High",IF(F25&gt;=3,"Medium","Low")))</f>
        <v/>
      </c>
    </row>
    <row r="26">
      <c r="A26" s="2" t="inlineStr">
        <is>
          <t>A.5.25</t>
        </is>
      </c>
      <c r="B26" s="2" t="n"/>
      <c r="C26" s="2" t="n"/>
      <c r="D26" s="2" t="n"/>
      <c r="E26" s="2" t="n"/>
      <c r="F26" s="2">
        <f>(B26*C26)+D26-E26</f>
        <v/>
      </c>
      <c r="G26" s="2">
        <f>IF(F26&gt;=10,"Critical",IF(F26&gt;=6,"High",IF(F26&gt;=3,"Medium","Low")))</f>
        <v/>
      </c>
    </row>
    <row r="27">
      <c r="A27" s="2" t="inlineStr">
        <is>
          <t>A.5.26</t>
        </is>
      </c>
      <c r="B27" s="2" t="n"/>
      <c r="C27" s="2" t="n"/>
      <c r="D27" s="2" t="n"/>
      <c r="E27" s="2" t="n"/>
      <c r="F27" s="2">
        <f>(B27*C27)+D27-E27</f>
        <v/>
      </c>
      <c r="G27" s="2">
        <f>IF(F27&gt;=10,"Critical",IF(F27&gt;=6,"High",IF(F27&gt;=3,"Medium","Low")))</f>
        <v/>
      </c>
    </row>
    <row r="28">
      <c r="A28" s="2" t="inlineStr">
        <is>
          <t>A.5.27</t>
        </is>
      </c>
      <c r="B28" s="2" t="n"/>
      <c r="C28" s="2" t="n"/>
      <c r="D28" s="2" t="n"/>
      <c r="E28" s="2" t="n"/>
      <c r="F28" s="2">
        <f>(B28*C28)+D28-E28</f>
        <v/>
      </c>
      <c r="G28" s="2">
        <f>IF(F28&gt;=10,"Critical",IF(F28&gt;=6,"High",IF(F28&gt;=3,"Medium","Low")))</f>
        <v/>
      </c>
    </row>
    <row r="29">
      <c r="A29" s="2" t="inlineStr">
        <is>
          <t>A.5.28</t>
        </is>
      </c>
      <c r="B29" s="2" t="n"/>
      <c r="C29" s="2" t="n"/>
      <c r="D29" s="2" t="n"/>
      <c r="E29" s="2" t="n"/>
      <c r="F29" s="2">
        <f>(B29*C29)+D29-E29</f>
        <v/>
      </c>
      <c r="G29" s="2">
        <f>IF(F29&gt;=10,"Critical",IF(F29&gt;=6,"High",IF(F29&gt;=3,"Medium","Low")))</f>
        <v/>
      </c>
    </row>
    <row r="30">
      <c r="A30" s="2" t="inlineStr">
        <is>
          <t>A.5.29</t>
        </is>
      </c>
      <c r="B30" s="2" t="n"/>
      <c r="C30" s="2" t="n"/>
      <c r="D30" s="2" t="n"/>
      <c r="E30" s="2" t="n"/>
      <c r="F30" s="2">
        <f>(B30*C30)+D30-E30</f>
        <v/>
      </c>
      <c r="G30" s="2">
        <f>IF(F30&gt;=10,"Critical",IF(F30&gt;=6,"High",IF(F30&gt;=3,"Medium","Low")))</f>
        <v/>
      </c>
    </row>
    <row r="31">
      <c r="A31" s="2" t="inlineStr">
        <is>
          <t>A.5.30</t>
        </is>
      </c>
      <c r="B31" s="2" t="n"/>
      <c r="C31" s="2" t="n"/>
      <c r="D31" s="2" t="n"/>
      <c r="E31" s="2" t="n"/>
      <c r="F31" s="2">
        <f>(B31*C31)+D31-E31</f>
        <v/>
      </c>
      <c r="G31" s="2">
        <f>IF(F31&gt;=10,"Critical",IF(F31&gt;=6,"High",IF(F31&gt;=3,"Medium","Low")))</f>
        <v/>
      </c>
    </row>
    <row r="32">
      <c r="A32" s="2" t="inlineStr">
        <is>
          <t>A.5.31</t>
        </is>
      </c>
      <c r="B32" s="2" t="n"/>
      <c r="C32" s="2" t="n"/>
      <c r="D32" s="2" t="n"/>
      <c r="E32" s="2" t="n"/>
      <c r="F32" s="2">
        <f>(B32*C32)+D32-E32</f>
        <v/>
      </c>
      <c r="G32" s="2">
        <f>IF(F32&gt;=10,"Critical",IF(F32&gt;=6,"High",IF(F32&gt;=3,"Medium","Low")))</f>
        <v/>
      </c>
    </row>
    <row r="33">
      <c r="A33" s="2" t="inlineStr">
        <is>
          <t>A.5.32</t>
        </is>
      </c>
      <c r="B33" s="2" t="n"/>
      <c r="C33" s="2" t="n"/>
      <c r="D33" s="2" t="n"/>
      <c r="E33" s="2" t="n"/>
      <c r="F33" s="2">
        <f>(B33*C33)+D33-E33</f>
        <v/>
      </c>
      <c r="G33" s="2">
        <f>IF(F33&gt;=10,"Critical",IF(F33&gt;=6,"High",IF(F33&gt;=3,"Medium","Low")))</f>
        <v/>
      </c>
    </row>
    <row r="34">
      <c r="A34" s="2" t="inlineStr">
        <is>
          <t>A.5.33</t>
        </is>
      </c>
      <c r="B34" s="2" t="n"/>
      <c r="C34" s="2" t="n"/>
      <c r="D34" s="2" t="n"/>
      <c r="E34" s="2" t="n"/>
      <c r="F34" s="2">
        <f>(B34*C34)+D34-E34</f>
        <v/>
      </c>
      <c r="G34" s="2">
        <f>IF(F34&gt;=10,"Critical",IF(F34&gt;=6,"High",IF(F34&gt;=3,"Medium","Low")))</f>
        <v/>
      </c>
    </row>
    <row r="35">
      <c r="A35" s="2" t="inlineStr">
        <is>
          <t>A.5.34</t>
        </is>
      </c>
      <c r="B35" s="2" t="n"/>
      <c r="C35" s="2" t="n"/>
      <c r="D35" s="2" t="n"/>
      <c r="E35" s="2" t="n"/>
      <c r="F35" s="2">
        <f>(B35*C35)+D35-E35</f>
        <v/>
      </c>
      <c r="G35" s="2">
        <f>IF(F35&gt;=10,"Critical",IF(F35&gt;=6,"High",IF(F35&gt;=3,"Medium","Low")))</f>
        <v/>
      </c>
    </row>
    <row r="36">
      <c r="A36" s="2" t="inlineStr">
        <is>
          <t>A.5.35</t>
        </is>
      </c>
      <c r="B36" s="2" t="n"/>
      <c r="C36" s="2" t="n"/>
      <c r="D36" s="2" t="n"/>
      <c r="E36" s="2" t="n"/>
      <c r="F36" s="2">
        <f>(B36*C36)+D36-E36</f>
        <v/>
      </c>
      <c r="G36" s="2">
        <f>IF(F36&gt;=10,"Critical",IF(F36&gt;=6,"High",IF(F36&gt;=3,"Medium","Low")))</f>
        <v/>
      </c>
    </row>
    <row r="37">
      <c r="A37" s="2" t="inlineStr">
        <is>
          <t>A.5.36</t>
        </is>
      </c>
      <c r="B37" s="2" t="n"/>
      <c r="C37" s="2" t="n"/>
      <c r="D37" s="2" t="n"/>
      <c r="E37" s="2" t="n"/>
      <c r="F37" s="2">
        <f>(B37*C37)+D37-E37</f>
        <v/>
      </c>
      <c r="G37" s="2">
        <f>IF(F37&gt;=10,"Critical",IF(F37&gt;=6,"High",IF(F37&gt;=3,"Medium","Low")))</f>
        <v/>
      </c>
    </row>
    <row r="38">
      <c r="A38" s="2" t="inlineStr">
        <is>
          <t>A.5.37</t>
        </is>
      </c>
      <c r="B38" s="2" t="n"/>
      <c r="C38" s="2" t="n"/>
      <c r="D38" s="2" t="n"/>
      <c r="E38" s="2" t="n"/>
      <c r="F38" s="2">
        <f>(B38*C38)+D38-E38</f>
        <v/>
      </c>
      <c r="G38" s="2">
        <f>IF(F38&gt;=10,"Critical",IF(F38&gt;=6,"High",IF(F38&gt;=3,"Medium","Low")))</f>
        <v/>
      </c>
    </row>
    <row r="39">
      <c r="A39" s="2" t="inlineStr">
        <is>
          <t>A.6.1</t>
        </is>
      </c>
      <c r="B39" s="2" t="n"/>
      <c r="C39" s="2" t="n"/>
      <c r="D39" s="2" t="n"/>
      <c r="E39" s="2" t="n"/>
      <c r="F39" s="2">
        <f>(B39*C39)+D39-E39</f>
        <v/>
      </c>
      <c r="G39" s="2">
        <f>IF(F39&gt;=10,"Critical",IF(F39&gt;=6,"High",IF(F39&gt;=3,"Medium","Low")))</f>
        <v/>
      </c>
    </row>
    <row r="40">
      <c r="A40" s="2" t="inlineStr">
        <is>
          <t>A.6.2</t>
        </is>
      </c>
      <c r="B40" s="2" t="n"/>
      <c r="C40" s="2" t="n"/>
      <c r="D40" s="2" t="n"/>
      <c r="E40" s="2" t="n"/>
      <c r="F40" s="2">
        <f>(B40*C40)+D40-E40</f>
        <v/>
      </c>
      <c r="G40" s="2">
        <f>IF(F40&gt;=10,"Critical",IF(F40&gt;=6,"High",IF(F40&gt;=3,"Medium","Low")))</f>
        <v/>
      </c>
    </row>
    <row r="41">
      <c r="A41" s="2" t="inlineStr">
        <is>
          <t>A.6.3</t>
        </is>
      </c>
      <c r="B41" s="2" t="n"/>
      <c r="C41" s="2" t="n"/>
      <c r="D41" s="2" t="n"/>
      <c r="E41" s="2" t="n"/>
      <c r="F41" s="2">
        <f>(B41*C41)+D41-E41</f>
        <v/>
      </c>
      <c r="G41" s="2">
        <f>IF(F41&gt;=10,"Critical",IF(F41&gt;=6,"High",IF(F41&gt;=3,"Medium","Low")))</f>
        <v/>
      </c>
    </row>
    <row r="42">
      <c r="A42" s="2" t="inlineStr">
        <is>
          <t>A.6.4</t>
        </is>
      </c>
      <c r="B42" s="2" t="n"/>
      <c r="C42" s="2" t="n"/>
      <c r="D42" s="2" t="n"/>
      <c r="E42" s="2" t="n"/>
      <c r="F42" s="2">
        <f>(B42*C42)+D42-E42</f>
        <v/>
      </c>
      <c r="G42" s="2">
        <f>IF(F42&gt;=10,"Critical",IF(F42&gt;=6,"High",IF(F42&gt;=3,"Medium","Low")))</f>
        <v/>
      </c>
    </row>
    <row r="43">
      <c r="A43" s="2" t="inlineStr">
        <is>
          <t>A.6.5</t>
        </is>
      </c>
      <c r="B43" s="2" t="n"/>
      <c r="C43" s="2" t="n"/>
      <c r="D43" s="2" t="n"/>
      <c r="E43" s="2" t="n"/>
      <c r="F43" s="2">
        <f>(B43*C43)+D43-E43</f>
        <v/>
      </c>
      <c r="G43" s="2">
        <f>IF(F43&gt;=10,"Critical",IF(F43&gt;=6,"High",IF(F43&gt;=3,"Medium","Low")))</f>
        <v/>
      </c>
    </row>
    <row r="44">
      <c r="A44" s="2" t="inlineStr">
        <is>
          <t>A.6.6</t>
        </is>
      </c>
      <c r="B44" s="2" t="n"/>
      <c r="C44" s="2" t="n"/>
      <c r="D44" s="2" t="n"/>
      <c r="E44" s="2" t="n"/>
      <c r="F44" s="2">
        <f>(B44*C44)+D44-E44</f>
        <v/>
      </c>
      <c r="G44" s="2">
        <f>IF(F44&gt;=10,"Critical",IF(F44&gt;=6,"High",IF(F44&gt;=3,"Medium","Low")))</f>
        <v/>
      </c>
    </row>
    <row r="45">
      <c r="A45" s="2" t="inlineStr">
        <is>
          <t>A.6.7</t>
        </is>
      </c>
      <c r="B45" s="2" t="n"/>
      <c r="C45" s="2" t="n"/>
      <c r="D45" s="2" t="n"/>
      <c r="E45" s="2" t="n"/>
      <c r="F45" s="2">
        <f>(B45*C45)+D45-E45</f>
        <v/>
      </c>
      <c r="G45" s="2">
        <f>IF(F45&gt;=10,"Critical",IF(F45&gt;=6,"High",IF(F45&gt;=3,"Medium","Low")))</f>
        <v/>
      </c>
    </row>
    <row r="46">
      <c r="A46" s="2" t="inlineStr">
        <is>
          <t>A.6.8</t>
        </is>
      </c>
      <c r="B46" s="2" t="n"/>
      <c r="C46" s="2" t="n"/>
      <c r="D46" s="2" t="n"/>
      <c r="E46" s="2" t="n"/>
      <c r="F46" s="2">
        <f>(B46*C46)+D46-E46</f>
        <v/>
      </c>
      <c r="G46" s="2">
        <f>IF(F46&gt;=10,"Critical",IF(F46&gt;=6,"High",IF(F46&gt;=3,"Medium","Low")))</f>
        <v/>
      </c>
    </row>
    <row r="47">
      <c r="A47" s="2" t="inlineStr">
        <is>
          <t>A.7.1</t>
        </is>
      </c>
      <c r="B47" s="2" t="n"/>
      <c r="C47" s="2" t="n"/>
      <c r="D47" s="2" t="n"/>
      <c r="E47" s="2" t="n"/>
      <c r="F47" s="2">
        <f>(B47*C47)+D47-E47</f>
        <v/>
      </c>
      <c r="G47" s="2">
        <f>IF(F47&gt;=10,"Critical",IF(F47&gt;=6,"High",IF(F47&gt;=3,"Medium","Low")))</f>
        <v/>
      </c>
    </row>
    <row r="48">
      <c r="A48" s="2" t="inlineStr">
        <is>
          <t>A.7.2</t>
        </is>
      </c>
      <c r="B48" s="2" t="n"/>
      <c r="C48" s="2" t="n"/>
      <c r="D48" s="2" t="n"/>
      <c r="E48" s="2" t="n"/>
      <c r="F48" s="2">
        <f>(B48*C48)+D48-E48</f>
        <v/>
      </c>
      <c r="G48" s="2">
        <f>IF(F48&gt;=10,"Critical",IF(F48&gt;=6,"High",IF(F48&gt;=3,"Medium","Low")))</f>
        <v/>
      </c>
    </row>
    <row r="49">
      <c r="A49" s="2" t="inlineStr">
        <is>
          <t>A.7.3</t>
        </is>
      </c>
      <c r="B49" s="2" t="n"/>
      <c r="C49" s="2" t="n"/>
      <c r="D49" s="2" t="n"/>
      <c r="E49" s="2" t="n"/>
      <c r="F49" s="2">
        <f>(B49*C49)+D49-E49</f>
        <v/>
      </c>
      <c r="G49" s="2">
        <f>IF(F49&gt;=10,"Critical",IF(F49&gt;=6,"High",IF(F49&gt;=3,"Medium","Low")))</f>
        <v/>
      </c>
    </row>
    <row r="50">
      <c r="A50" s="2" t="inlineStr">
        <is>
          <t>A.7.4</t>
        </is>
      </c>
      <c r="B50" s="2" t="n"/>
      <c r="C50" s="2" t="n"/>
      <c r="D50" s="2" t="n"/>
      <c r="E50" s="2" t="n"/>
      <c r="F50" s="2">
        <f>(B50*C50)+D50-E50</f>
        <v/>
      </c>
      <c r="G50" s="2">
        <f>IF(F50&gt;=10,"Critical",IF(F50&gt;=6,"High",IF(F50&gt;=3,"Medium","Low")))</f>
        <v/>
      </c>
    </row>
    <row r="51">
      <c r="A51" s="2" t="inlineStr">
        <is>
          <t>A.7.5</t>
        </is>
      </c>
      <c r="B51" s="2" t="n"/>
      <c r="C51" s="2" t="n"/>
      <c r="D51" s="2" t="n"/>
      <c r="E51" s="2" t="n"/>
      <c r="F51" s="2">
        <f>(B51*C51)+D51-E51</f>
        <v/>
      </c>
      <c r="G51" s="2">
        <f>IF(F51&gt;=10,"Critical",IF(F51&gt;=6,"High",IF(F51&gt;=3,"Medium","Low")))</f>
        <v/>
      </c>
    </row>
    <row r="52">
      <c r="A52" s="2" t="inlineStr">
        <is>
          <t>A.7.6</t>
        </is>
      </c>
      <c r="B52" s="2" t="n"/>
      <c r="C52" s="2" t="n"/>
      <c r="D52" s="2" t="n"/>
      <c r="E52" s="2" t="n"/>
      <c r="F52" s="2">
        <f>(B52*C52)+D52-E52</f>
        <v/>
      </c>
      <c r="G52" s="2">
        <f>IF(F52&gt;=10,"Critical",IF(F52&gt;=6,"High",IF(F52&gt;=3,"Medium","Low")))</f>
        <v/>
      </c>
    </row>
    <row r="53">
      <c r="A53" s="2" t="inlineStr">
        <is>
          <t>A.7.7</t>
        </is>
      </c>
      <c r="B53" s="2" t="n"/>
      <c r="C53" s="2" t="n"/>
      <c r="D53" s="2" t="n"/>
      <c r="E53" s="2" t="n"/>
      <c r="F53" s="2">
        <f>(B53*C53)+D53-E53</f>
        <v/>
      </c>
      <c r="G53" s="2">
        <f>IF(F53&gt;=10,"Critical",IF(F53&gt;=6,"High",IF(F53&gt;=3,"Medium","Low")))</f>
        <v/>
      </c>
    </row>
    <row r="54">
      <c r="A54" s="2" t="inlineStr">
        <is>
          <t>A.7.8</t>
        </is>
      </c>
      <c r="B54" s="2" t="n"/>
      <c r="C54" s="2" t="n"/>
      <c r="D54" s="2" t="n"/>
      <c r="E54" s="2" t="n"/>
      <c r="F54" s="2">
        <f>(B54*C54)+D54-E54</f>
        <v/>
      </c>
      <c r="G54" s="2">
        <f>IF(F54&gt;=10,"Critical",IF(F54&gt;=6,"High",IF(F54&gt;=3,"Medium","Low")))</f>
        <v/>
      </c>
    </row>
    <row r="55">
      <c r="A55" s="2" t="inlineStr">
        <is>
          <t>A.7.9</t>
        </is>
      </c>
      <c r="B55" s="2" t="n"/>
      <c r="C55" s="2" t="n"/>
      <c r="D55" s="2" t="n"/>
      <c r="E55" s="2" t="n"/>
      <c r="F55" s="2">
        <f>(B55*C55)+D55-E55</f>
        <v/>
      </c>
      <c r="G55" s="2">
        <f>IF(F55&gt;=10,"Critical",IF(F55&gt;=6,"High",IF(F55&gt;=3,"Medium","Low")))</f>
        <v/>
      </c>
    </row>
    <row r="56">
      <c r="A56" s="2" t="inlineStr">
        <is>
          <t>A.7.10</t>
        </is>
      </c>
      <c r="B56" s="2" t="n"/>
      <c r="C56" s="2" t="n"/>
      <c r="D56" s="2" t="n"/>
      <c r="E56" s="2" t="n"/>
      <c r="F56" s="2">
        <f>(B56*C56)+D56-E56</f>
        <v/>
      </c>
      <c r="G56" s="2">
        <f>IF(F56&gt;=10,"Critical",IF(F56&gt;=6,"High",IF(F56&gt;=3,"Medium","Low")))</f>
        <v/>
      </c>
    </row>
    <row r="57">
      <c r="A57" s="2" t="inlineStr">
        <is>
          <t>A.7.11</t>
        </is>
      </c>
      <c r="B57" s="2" t="n"/>
      <c r="C57" s="2" t="n"/>
      <c r="D57" s="2" t="n"/>
      <c r="E57" s="2" t="n"/>
      <c r="F57" s="2">
        <f>(B57*C57)+D57-E57</f>
        <v/>
      </c>
      <c r="G57" s="2">
        <f>IF(F57&gt;=10,"Critical",IF(F57&gt;=6,"High",IF(F57&gt;=3,"Medium","Low")))</f>
        <v/>
      </c>
    </row>
    <row r="58">
      <c r="A58" s="2" t="inlineStr">
        <is>
          <t>A.7.12</t>
        </is>
      </c>
      <c r="B58" s="2" t="n"/>
      <c r="C58" s="2" t="n"/>
      <c r="D58" s="2" t="n"/>
      <c r="E58" s="2" t="n"/>
      <c r="F58" s="2">
        <f>(B58*C58)+D58-E58</f>
        <v/>
      </c>
      <c r="G58" s="2">
        <f>IF(F58&gt;=10,"Critical",IF(F58&gt;=6,"High",IF(F58&gt;=3,"Medium","Low")))</f>
        <v/>
      </c>
    </row>
    <row r="59">
      <c r="A59" s="2" t="inlineStr">
        <is>
          <t>A.7.13</t>
        </is>
      </c>
      <c r="B59" s="2" t="n"/>
      <c r="C59" s="2" t="n"/>
      <c r="D59" s="2" t="n"/>
      <c r="E59" s="2" t="n"/>
      <c r="F59" s="2">
        <f>(B59*C59)+D59-E59</f>
        <v/>
      </c>
      <c r="G59" s="2">
        <f>IF(F59&gt;=10,"Critical",IF(F59&gt;=6,"High",IF(F59&gt;=3,"Medium","Low")))</f>
        <v/>
      </c>
    </row>
    <row r="60">
      <c r="A60" s="2" t="inlineStr">
        <is>
          <t>A.7.14</t>
        </is>
      </c>
      <c r="B60" s="2" t="n"/>
      <c r="C60" s="2" t="n"/>
      <c r="D60" s="2" t="n"/>
      <c r="E60" s="2" t="n"/>
      <c r="F60" s="2">
        <f>(B60*C60)+D60-E60</f>
        <v/>
      </c>
      <c r="G60" s="2">
        <f>IF(F60&gt;=10,"Critical",IF(F60&gt;=6,"High",IF(F60&gt;=3,"Medium","Low")))</f>
        <v/>
      </c>
    </row>
    <row r="61">
      <c r="A61" s="2" t="inlineStr">
        <is>
          <t>A.8.1</t>
        </is>
      </c>
      <c r="B61" s="2" t="n"/>
      <c r="C61" s="2" t="n"/>
      <c r="D61" s="2" t="n"/>
      <c r="E61" s="2" t="n"/>
      <c r="F61" s="2">
        <f>(B61*C61)+D61-E61</f>
        <v/>
      </c>
      <c r="G61" s="2">
        <f>IF(F61&gt;=10,"Critical",IF(F61&gt;=6,"High",IF(F61&gt;=3,"Medium","Low")))</f>
        <v/>
      </c>
    </row>
    <row r="62">
      <c r="A62" s="2" t="inlineStr">
        <is>
          <t>A.8.2</t>
        </is>
      </c>
      <c r="B62" s="2" t="n"/>
      <c r="C62" s="2" t="n"/>
      <c r="D62" s="2" t="n"/>
      <c r="E62" s="2" t="n"/>
      <c r="F62" s="2">
        <f>(B62*C62)+D62-E62</f>
        <v/>
      </c>
      <c r="G62" s="2">
        <f>IF(F62&gt;=10,"Critical",IF(F62&gt;=6,"High",IF(F62&gt;=3,"Medium","Low")))</f>
        <v/>
      </c>
    </row>
    <row r="63">
      <c r="A63" s="2" t="inlineStr">
        <is>
          <t>A.8.3</t>
        </is>
      </c>
      <c r="B63" s="2" t="n"/>
      <c r="C63" s="2" t="n"/>
      <c r="D63" s="2" t="n"/>
      <c r="E63" s="2" t="n"/>
      <c r="F63" s="2">
        <f>(B63*C63)+D63-E63</f>
        <v/>
      </c>
      <c r="G63" s="2">
        <f>IF(F63&gt;=10,"Critical",IF(F63&gt;=6,"High",IF(F63&gt;=3,"Medium","Low")))</f>
        <v/>
      </c>
    </row>
    <row r="64">
      <c r="A64" s="2" t="inlineStr">
        <is>
          <t>A.8.4</t>
        </is>
      </c>
      <c r="B64" s="2" t="n"/>
      <c r="C64" s="2" t="n"/>
      <c r="D64" s="2" t="n"/>
      <c r="E64" s="2" t="n"/>
      <c r="F64" s="2">
        <f>(B64*C64)+D64-E64</f>
        <v/>
      </c>
      <c r="G64" s="2">
        <f>IF(F64&gt;=10,"Critical",IF(F64&gt;=6,"High",IF(F64&gt;=3,"Medium","Low")))</f>
        <v/>
      </c>
    </row>
    <row r="65">
      <c r="A65" s="2" t="inlineStr">
        <is>
          <t>A.8.5</t>
        </is>
      </c>
      <c r="B65" s="2" t="n"/>
      <c r="C65" s="2" t="n"/>
      <c r="D65" s="2" t="n"/>
      <c r="E65" s="2" t="n"/>
      <c r="F65" s="2">
        <f>(B65*C65)+D65-E65</f>
        <v/>
      </c>
      <c r="G65" s="2">
        <f>IF(F65&gt;=10,"Critical",IF(F65&gt;=6,"High",IF(F65&gt;=3,"Medium","Low")))</f>
        <v/>
      </c>
    </row>
    <row r="66">
      <c r="A66" s="2" t="inlineStr">
        <is>
          <t>A.8.6</t>
        </is>
      </c>
      <c r="B66" s="2" t="n"/>
      <c r="C66" s="2" t="n"/>
      <c r="D66" s="2" t="n"/>
      <c r="E66" s="2" t="n"/>
      <c r="F66" s="2">
        <f>(B66*C66)+D66-E66</f>
        <v/>
      </c>
      <c r="G66" s="2">
        <f>IF(F66&gt;=10,"Critical",IF(F66&gt;=6,"High",IF(F66&gt;=3,"Medium","Low")))</f>
        <v/>
      </c>
    </row>
    <row r="67">
      <c r="A67" s="2" t="inlineStr">
        <is>
          <t>A.8.7</t>
        </is>
      </c>
      <c r="B67" s="2" t="n"/>
      <c r="C67" s="2" t="n"/>
      <c r="D67" s="2" t="n"/>
      <c r="E67" s="2" t="n"/>
      <c r="F67" s="2">
        <f>(B67*C67)+D67-E67</f>
        <v/>
      </c>
      <c r="G67" s="2">
        <f>IF(F67&gt;=10,"Critical",IF(F67&gt;=6,"High",IF(F67&gt;=3,"Medium","Low")))</f>
        <v/>
      </c>
    </row>
    <row r="68">
      <c r="A68" s="2" t="inlineStr">
        <is>
          <t>A.8.8</t>
        </is>
      </c>
      <c r="B68" s="2" t="n"/>
      <c r="C68" s="2" t="n"/>
      <c r="D68" s="2" t="n"/>
      <c r="E68" s="2" t="n"/>
      <c r="F68" s="2">
        <f>(B68*C68)+D68-E68</f>
        <v/>
      </c>
      <c r="G68" s="2">
        <f>IF(F68&gt;=10,"Critical",IF(F68&gt;=6,"High",IF(F68&gt;=3,"Medium","Low")))</f>
        <v/>
      </c>
    </row>
    <row r="69">
      <c r="A69" s="2" t="inlineStr">
        <is>
          <t>A.8.9</t>
        </is>
      </c>
      <c r="B69" s="2" t="n"/>
      <c r="C69" s="2" t="n"/>
      <c r="D69" s="2" t="n"/>
      <c r="E69" s="2" t="n"/>
      <c r="F69" s="2">
        <f>(B69*C69)+D69-E69</f>
        <v/>
      </c>
      <c r="G69" s="2">
        <f>IF(F69&gt;=10,"Critical",IF(F69&gt;=6,"High",IF(F69&gt;=3,"Medium","Low")))</f>
        <v/>
      </c>
    </row>
    <row r="70">
      <c r="A70" s="2" t="inlineStr">
        <is>
          <t>A.8.10</t>
        </is>
      </c>
      <c r="B70" s="2" t="n"/>
      <c r="C70" s="2" t="n"/>
      <c r="D70" s="2" t="n"/>
      <c r="E70" s="2" t="n"/>
      <c r="F70" s="2">
        <f>(B70*C70)+D70-E70</f>
        <v/>
      </c>
      <c r="G70" s="2">
        <f>IF(F70&gt;=10,"Critical",IF(F70&gt;=6,"High",IF(F70&gt;=3,"Medium","Low")))</f>
        <v/>
      </c>
    </row>
    <row r="71">
      <c r="A71" s="2" t="inlineStr">
        <is>
          <t>A.8.11</t>
        </is>
      </c>
      <c r="B71" s="2" t="n"/>
      <c r="C71" s="2" t="n"/>
      <c r="D71" s="2" t="n"/>
      <c r="E71" s="2" t="n"/>
      <c r="F71" s="2">
        <f>(B71*C71)+D71-E71</f>
        <v/>
      </c>
      <c r="G71" s="2">
        <f>IF(F71&gt;=10,"Critical",IF(F71&gt;=6,"High",IF(F71&gt;=3,"Medium","Low")))</f>
        <v/>
      </c>
    </row>
    <row r="72">
      <c r="A72" s="2" t="inlineStr">
        <is>
          <t>A.8.12</t>
        </is>
      </c>
      <c r="B72" s="2" t="n"/>
      <c r="C72" s="2" t="n"/>
      <c r="D72" s="2" t="n"/>
      <c r="E72" s="2" t="n"/>
      <c r="F72" s="2">
        <f>(B72*C72)+D72-E72</f>
        <v/>
      </c>
      <c r="G72" s="2">
        <f>IF(F72&gt;=10,"Critical",IF(F72&gt;=6,"High",IF(F72&gt;=3,"Medium","Low")))</f>
        <v/>
      </c>
    </row>
    <row r="73">
      <c r="A73" s="2" t="inlineStr">
        <is>
          <t>A.8.13</t>
        </is>
      </c>
      <c r="B73" s="2" t="n"/>
      <c r="C73" s="2" t="n"/>
      <c r="D73" s="2" t="n"/>
      <c r="E73" s="2" t="n"/>
      <c r="F73" s="2">
        <f>(B73*C73)+D73-E73</f>
        <v/>
      </c>
      <c r="G73" s="2">
        <f>IF(F73&gt;=10,"Critical",IF(F73&gt;=6,"High",IF(F73&gt;=3,"Medium","Low")))</f>
        <v/>
      </c>
    </row>
    <row r="74">
      <c r="A74" s="2" t="inlineStr">
        <is>
          <t>A.8.14</t>
        </is>
      </c>
      <c r="B74" s="2" t="n"/>
      <c r="C74" s="2" t="n"/>
      <c r="D74" s="2" t="n"/>
      <c r="E74" s="2" t="n"/>
      <c r="F74" s="2">
        <f>(B74*C74)+D74-E74</f>
        <v/>
      </c>
      <c r="G74" s="2">
        <f>IF(F74&gt;=10,"Critical",IF(F74&gt;=6,"High",IF(F74&gt;=3,"Medium","Low")))</f>
        <v/>
      </c>
    </row>
    <row r="75">
      <c r="A75" s="2" t="inlineStr">
        <is>
          <t>A.8.15</t>
        </is>
      </c>
      <c r="B75" s="2" t="n"/>
      <c r="C75" s="2" t="n"/>
      <c r="D75" s="2" t="n"/>
      <c r="E75" s="2" t="n"/>
      <c r="F75" s="2">
        <f>(B75*C75)+D75-E75</f>
        <v/>
      </c>
      <c r="G75" s="2">
        <f>IF(F75&gt;=10,"Critical",IF(F75&gt;=6,"High",IF(F75&gt;=3,"Medium","Low")))</f>
        <v/>
      </c>
    </row>
    <row r="76">
      <c r="A76" s="2" t="inlineStr">
        <is>
          <t>A.8.16</t>
        </is>
      </c>
      <c r="B76" s="2" t="n"/>
      <c r="C76" s="2" t="n"/>
      <c r="D76" s="2" t="n"/>
      <c r="E76" s="2" t="n"/>
      <c r="F76" s="2">
        <f>(B76*C76)+D76-E76</f>
        <v/>
      </c>
      <c r="G76" s="2">
        <f>IF(F76&gt;=10,"Critical",IF(F76&gt;=6,"High",IF(F76&gt;=3,"Medium","Low")))</f>
        <v/>
      </c>
    </row>
    <row r="77">
      <c r="A77" s="2" t="inlineStr">
        <is>
          <t>A.8.17</t>
        </is>
      </c>
      <c r="B77" s="2" t="n"/>
      <c r="C77" s="2" t="n"/>
      <c r="D77" s="2" t="n"/>
      <c r="E77" s="2" t="n"/>
      <c r="F77" s="2">
        <f>(B77*C77)+D77-E77</f>
        <v/>
      </c>
      <c r="G77" s="2">
        <f>IF(F77&gt;=10,"Critical",IF(F77&gt;=6,"High",IF(F77&gt;=3,"Medium","Low")))</f>
        <v/>
      </c>
    </row>
    <row r="78">
      <c r="A78" s="2" t="inlineStr">
        <is>
          <t>A.8.18</t>
        </is>
      </c>
      <c r="B78" s="2" t="n"/>
      <c r="C78" s="2" t="n"/>
      <c r="D78" s="2" t="n"/>
      <c r="E78" s="2" t="n"/>
      <c r="F78" s="2">
        <f>(B78*C78)+D78-E78</f>
        <v/>
      </c>
      <c r="G78" s="2">
        <f>IF(F78&gt;=10,"Critical",IF(F78&gt;=6,"High",IF(F78&gt;=3,"Medium","Low")))</f>
        <v/>
      </c>
    </row>
    <row r="79">
      <c r="A79" s="2" t="inlineStr">
        <is>
          <t>A.8.19</t>
        </is>
      </c>
      <c r="B79" s="2" t="n"/>
      <c r="C79" s="2" t="n"/>
      <c r="D79" s="2" t="n"/>
      <c r="E79" s="2" t="n"/>
      <c r="F79" s="2">
        <f>(B79*C79)+D79-E79</f>
        <v/>
      </c>
      <c r="G79" s="2">
        <f>IF(F79&gt;=10,"Critical",IF(F79&gt;=6,"High",IF(F79&gt;=3,"Medium","Low")))</f>
        <v/>
      </c>
    </row>
    <row r="80">
      <c r="A80" s="2" t="inlineStr">
        <is>
          <t>A.8.20</t>
        </is>
      </c>
      <c r="B80" s="2" t="n"/>
      <c r="C80" s="2" t="n"/>
      <c r="D80" s="2" t="n"/>
      <c r="E80" s="2" t="n"/>
      <c r="F80" s="2">
        <f>(B80*C80)+D80-E80</f>
        <v/>
      </c>
      <c r="G80" s="2">
        <f>IF(F80&gt;=10,"Critical",IF(F80&gt;=6,"High",IF(F80&gt;=3,"Medium","Low")))</f>
        <v/>
      </c>
    </row>
    <row r="81">
      <c r="A81" s="2" t="inlineStr">
        <is>
          <t>A.8.21</t>
        </is>
      </c>
      <c r="B81" s="2" t="n"/>
      <c r="C81" s="2" t="n"/>
      <c r="D81" s="2" t="n"/>
      <c r="E81" s="2" t="n"/>
      <c r="F81" s="2">
        <f>(B81*C81)+D81-E81</f>
        <v/>
      </c>
      <c r="G81" s="2">
        <f>IF(F81&gt;=10,"Critical",IF(F81&gt;=6,"High",IF(F81&gt;=3,"Medium","Low")))</f>
        <v/>
      </c>
    </row>
    <row r="82">
      <c r="A82" s="2" t="inlineStr">
        <is>
          <t>A.8.22</t>
        </is>
      </c>
      <c r="B82" s="2" t="n"/>
      <c r="C82" s="2" t="n"/>
      <c r="D82" s="2" t="n"/>
      <c r="E82" s="2" t="n"/>
      <c r="F82" s="2">
        <f>(B82*C82)+D82-E82</f>
        <v/>
      </c>
      <c r="G82" s="2">
        <f>IF(F82&gt;=10,"Critical",IF(F82&gt;=6,"High",IF(F82&gt;=3,"Medium","Low")))</f>
        <v/>
      </c>
    </row>
    <row r="83">
      <c r="A83" s="2" t="inlineStr">
        <is>
          <t>A.8.23</t>
        </is>
      </c>
      <c r="B83" s="2" t="n"/>
      <c r="C83" s="2" t="n"/>
      <c r="D83" s="2" t="n"/>
      <c r="E83" s="2" t="n"/>
      <c r="F83" s="2">
        <f>(B83*C83)+D83-E83</f>
        <v/>
      </c>
      <c r="G83" s="2">
        <f>IF(F83&gt;=10,"Critical",IF(F83&gt;=6,"High",IF(F83&gt;=3,"Medium","Low")))</f>
        <v/>
      </c>
    </row>
    <row r="84">
      <c r="A84" s="2" t="inlineStr">
        <is>
          <t>A.8.24</t>
        </is>
      </c>
      <c r="B84" s="2" t="n"/>
      <c r="C84" s="2" t="n"/>
      <c r="D84" s="2" t="n"/>
      <c r="E84" s="2" t="n"/>
      <c r="F84" s="2">
        <f>(B84*C84)+D84-E84</f>
        <v/>
      </c>
      <c r="G84" s="2">
        <f>IF(F84&gt;=10,"Critical",IF(F84&gt;=6,"High",IF(F84&gt;=3,"Medium","Low")))</f>
        <v/>
      </c>
    </row>
    <row r="85">
      <c r="A85" s="2" t="inlineStr">
        <is>
          <t>A.8.25</t>
        </is>
      </c>
      <c r="B85" s="2" t="n"/>
      <c r="C85" s="2" t="n"/>
      <c r="D85" s="2" t="n"/>
      <c r="E85" s="2" t="n"/>
      <c r="F85" s="2">
        <f>(B85*C85)+D85-E85</f>
        <v/>
      </c>
      <c r="G85" s="2">
        <f>IF(F85&gt;=10,"Critical",IF(F85&gt;=6,"High",IF(F85&gt;=3,"Medium","Low")))</f>
        <v/>
      </c>
    </row>
    <row r="86">
      <c r="A86" s="2" t="inlineStr">
        <is>
          <t>A.8.26</t>
        </is>
      </c>
      <c r="B86" s="2" t="n"/>
      <c r="C86" s="2" t="n"/>
      <c r="D86" s="2" t="n"/>
      <c r="E86" s="2" t="n"/>
      <c r="F86" s="2">
        <f>(B86*C86)+D86-E86</f>
        <v/>
      </c>
      <c r="G86" s="2">
        <f>IF(F86&gt;=10,"Critical",IF(F86&gt;=6,"High",IF(F86&gt;=3,"Medium","Low")))</f>
        <v/>
      </c>
    </row>
    <row r="87">
      <c r="A87" s="2" t="inlineStr">
        <is>
          <t>A.8.27</t>
        </is>
      </c>
      <c r="B87" s="2" t="n"/>
      <c r="C87" s="2" t="n"/>
      <c r="D87" s="2" t="n"/>
      <c r="E87" s="2" t="n"/>
      <c r="F87" s="2">
        <f>(B87*C87)+D87-E87</f>
        <v/>
      </c>
      <c r="G87" s="2">
        <f>IF(F87&gt;=10,"Critical",IF(F87&gt;=6,"High",IF(F87&gt;=3,"Medium","Low")))</f>
        <v/>
      </c>
    </row>
    <row r="88">
      <c r="A88" s="2" t="inlineStr">
        <is>
          <t>A.8.28</t>
        </is>
      </c>
      <c r="B88" s="2" t="n"/>
      <c r="C88" s="2" t="n"/>
      <c r="D88" s="2" t="n"/>
      <c r="E88" s="2" t="n"/>
      <c r="F88" s="2">
        <f>(B88*C88)+D88-E88</f>
        <v/>
      </c>
      <c r="G88" s="2">
        <f>IF(F88&gt;=10,"Critical",IF(F88&gt;=6,"High",IF(F88&gt;=3,"Medium","Low")))</f>
        <v/>
      </c>
    </row>
    <row r="89">
      <c r="A89" s="2" t="inlineStr">
        <is>
          <t>A.8.29</t>
        </is>
      </c>
      <c r="B89" s="2" t="n"/>
      <c r="C89" s="2" t="n"/>
      <c r="D89" s="2" t="n"/>
      <c r="E89" s="2" t="n"/>
      <c r="F89" s="2">
        <f>(B89*C89)+D89-E89</f>
        <v/>
      </c>
      <c r="G89" s="2">
        <f>IF(F89&gt;=10,"Critical",IF(F89&gt;=6,"High",IF(F89&gt;=3,"Medium","Low")))</f>
        <v/>
      </c>
    </row>
    <row r="90">
      <c r="A90" s="2" t="inlineStr">
        <is>
          <t>A.8.30</t>
        </is>
      </c>
      <c r="B90" s="2" t="n"/>
      <c r="C90" s="2" t="n"/>
      <c r="D90" s="2" t="n"/>
      <c r="E90" s="2" t="n"/>
      <c r="F90" s="2">
        <f>(B90*C90)+D90-E90</f>
        <v/>
      </c>
      <c r="G90" s="2">
        <f>IF(F90&gt;=10,"Critical",IF(F90&gt;=6,"High",IF(F90&gt;=3,"Medium","Low")))</f>
        <v/>
      </c>
    </row>
    <row r="91">
      <c r="A91" s="2" t="inlineStr">
        <is>
          <t>A.8.31</t>
        </is>
      </c>
      <c r="B91" s="2" t="n"/>
      <c r="C91" s="2" t="n"/>
      <c r="D91" s="2" t="n"/>
      <c r="E91" s="2" t="n"/>
      <c r="F91" s="2">
        <f>(B91*C91)+D91-E91</f>
        <v/>
      </c>
      <c r="G91" s="2">
        <f>IF(F91&gt;=10,"Critical",IF(F91&gt;=6,"High",IF(F91&gt;=3,"Medium","Low")))</f>
        <v/>
      </c>
    </row>
    <row r="92">
      <c r="A92" s="2" t="inlineStr">
        <is>
          <t>A.8.32</t>
        </is>
      </c>
      <c r="B92" s="2" t="n"/>
      <c r="C92" s="2" t="n"/>
      <c r="D92" s="2" t="n"/>
      <c r="E92" s="2" t="n"/>
      <c r="F92" s="2">
        <f>(B92*C92)+D92-E92</f>
        <v/>
      </c>
      <c r="G92" s="2">
        <f>IF(F92&gt;=10,"Critical",IF(F92&gt;=6,"High",IF(F92&gt;=3,"Medium","Low")))</f>
        <v/>
      </c>
    </row>
    <row r="93">
      <c r="A93" s="2" t="inlineStr">
        <is>
          <t>A.8.33</t>
        </is>
      </c>
      <c r="B93" s="2" t="n"/>
      <c r="C93" s="2" t="n"/>
      <c r="D93" s="2" t="n"/>
      <c r="E93" s="2" t="n"/>
      <c r="F93" s="2">
        <f>(B93*C93)+D93-E93</f>
        <v/>
      </c>
      <c r="G93" s="2">
        <f>IF(F93&gt;=10,"Critical",IF(F93&gt;=6,"High",IF(F93&gt;=3,"Medium","Low")))</f>
        <v/>
      </c>
    </row>
    <row r="94">
      <c r="A94" s="2" t="inlineStr">
        <is>
          <t>A.8.34</t>
        </is>
      </c>
      <c r="B94" s="2" t="n"/>
      <c r="C94" s="2" t="n"/>
      <c r="D94" s="2" t="n"/>
      <c r="E94" s="2" t="n"/>
      <c r="F94" s="2">
        <f>(B94*C94)+D94-E94</f>
        <v/>
      </c>
      <c r="G94" s="2">
        <f>IF(F94&gt;=10,"Critical",IF(F94&gt;=6,"High",IF(F94&gt;=3,"Medium","Low")))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25" customWidth="1" min="9" max="9"/>
    <col width="30" customWidth="1" min="10" max="10"/>
  </cols>
  <sheetData>
    <row r="1">
      <c r="A1" s="7" t="inlineStr">
        <is>
          <t>Control ID</t>
        </is>
      </c>
      <c r="B1" s="7" t="inlineStr">
        <is>
          <t>Gap Description</t>
        </is>
      </c>
      <c r="C1" s="7" t="inlineStr">
        <is>
          <t>Remediation Action</t>
        </is>
      </c>
      <c r="D1" s="7" t="inlineStr">
        <is>
          <t>Owner</t>
        </is>
      </c>
      <c r="E1" s="7" t="inlineStr">
        <is>
          <t>Start Date</t>
        </is>
      </c>
      <c r="F1" s="7" t="inlineStr">
        <is>
          <t>Target Date</t>
        </is>
      </c>
      <c r="G1" s="7" t="inlineStr">
        <is>
          <t>Actual Completion</t>
        </is>
      </c>
      <c r="H1" s="7" t="inlineStr">
        <is>
          <t>Status</t>
        </is>
      </c>
      <c r="I1" s="7" t="inlineStr">
        <is>
          <t>Evidence Link</t>
        </is>
      </c>
      <c r="J1" s="7" t="inlineStr">
        <is>
          <t>Notes</t>
        </is>
      </c>
    </row>
  </sheetData>
  <dataValidations count="1">
    <dataValidation sqref="H2:H200" showDropDown="0" showInputMessage="0" showErrorMessage="0" allowBlank="0" type="list">
      <formula1>"Not Started,In Progress,Blocked,Completed,Verified"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30" customWidth="1" min="4" max="4"/>
    <col width="12" customWidth="1" min="5" max="5"/>
    <col width="35" customWidth="1" min="6" max="6"/>
  </cols>
  <sheetData>
    <row r="1">
      <c r="A1" s="7" t="inlineStr">
        <is>
          <t>Control ID</t>
        </is>
      </c>
      <c r="B1" s="7" t="inlineStr">
        <is>
          <t>Control Name</t>
        </is>
      </c>
      <c r="C1" s="7" t="inlineStr">
        <is>
          <t>Required Evidence</t>
        </is>
      </c>
      <c r="D1" s="7" t="inlineStr">
        <is>
          <t>Evidence Location</t>
        </is>
      </c>
      <c r="E1" s="7" t="inlineStr">
        <is>
          <t>Collected</t>
        </is>
      </c>
      <c r="F1" s="7" t="inlineStr">
        <is>
          <t>Reviewer Notes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inlineStr">
        <is>
          <t>Information Security Policy (approved, dated), evidence of communication to staff</t>
        </is>
      </c>
      <c r="D2" s="2" t="n"/>
      <c r="E2" s="2" t="n"/>
      <c r="F2" s="2" t="n"/>
    </row>
    <row r="3">
      <c r="A3" s="2" t="inlineStr">
        <is>
          <t>A.5.2</t>
        </is>
      </c>
      <c r="B3" s="2" t="inlineStr">
        <is>
          <t>Information security roles and responsibilities</t>
        </is>
      </c>
      <c r="C3" s="2" t="inlineStr">
        <is>
          <t>Document evidence of implementation</t>
        </is>
      </c>
      <c r="D3" s="2" t="n"/>
      <c r="E3" s="2" t="n"/>
      <c r="F3" s="2" t="n"/>
    </row>
    <row r="4">
      <c r="A4" s="2" t="inlineStr">
        <is>
          <t>A.5.3</t>
        </is>
      </c>
      <c r="B4" s="2" t="inlineStr">
        <is>
          <t>Segregation of duties</t>
        </is>
      </c>
      <c r="C4" s="2" t="inlineStr">
        <is>
          <t>Document evidence of implementation</t>
        </is>
      </c>
      <c r="D4" s="2" t="n"/>
      <c r="E4" s="2" t="n"/>
      <c r="F4" s="2" t="n"/>
    </row>
    <row r="5">
      <c r="A5" s="2" t="inlineStr">
        <is>
          <t>A.5.4</t>
        </is>
      </c>
      <c r="B5" s="2" t="inlineStr">
        <is>
          <t>Management responsibilities</t>
        </is>
      </c>
      <c r="C5" s="2" t="inlineStr">
        <is>
          <t>Document evidence of implementation</t>
        </is>
      </c>
      <c r="D5" s="2" t="n"/>
      <c r="E5" s="2" t="n"/>
      <c r="F5" s="2" t="n"/>
    </row>
    <row r="6">
      <c r="A6" s="2" t="inlineStr">
        <is>
          <t>A.5.5</t>
        </is>
      </c>
      <c r="B6" s="2" t="inlineStr">
        <is>
          <t>Contact with authorities</t>
        </is>
      </c>
      <c r="C6" s="2" t="inlineStr">
        <is>
          <t>Document evidence of implementation</t>
        </is>
      </c>
      <c r="D6" s="2" t="n"/>
      <c r="E6" s="2" t="n"/>
      <c r="F6" s="2" t="n"/>
    </row>
    <row r="7">
      <c r="A7" s="2" t="inlineStr">
        <is>
          <t>A.5.6</t>
        </is>
      </c>
      <c r="B7" s="2" t="inlineStr">
        <is>
          <t>Contact with special interest groups</t>
        </is>
      </c>
      <c r="C7" s="2" t="inlineStr">
        <is>
          <t>Document evidence of implementation</t>
        </is>
      </c>
      <c r="D7" s="2" t="n"/>
      <c r="E7" s="2" t="n"/>
      <c r="F7" s="2" t="n"/>
    </row>
    <row r="8">
      <c r="A8" s="2" t="inlineStr">
        <is>
          <t>A.5.7</t>
        </is>
      </c>
      <c r="B8" s="2" t="inlineStr">
        <is>
          <t>Threat intelligence</t>
        </is>
      </c>
      <c r="C8" s="2" t="inlineStr">
        <is>
          <t>Threat intelligence sources list, analysis reports, briefing records</t>
        </is>
      </c>
      <c r="D8" s="2" t="n"/>
      <c r="E8" s="2" t="n"/>
      <c r="F8" s="2" t="n"/>
    </row>
    <row r="9">
      <c r="A9" s="2" t="inlineStr">
        <is>
          <t>A.5.8</t>
        </is>
      </c>
      <c r="B9" s="2" t="inlineStr">
        <is>
          <t>Information security in project management</t>
        </is>
      </c>
      <c r="C9" s="2" t="inlineStr">
        <is>
          <t>Document evidence of implementation</t>
        </is>
      </c>
      <c r="D9" s="2" t="n"/>
      <c r="E9" s="2" t="n"/>
      <c r="F9" s="2" t="n"/>
    </row>
    <row r="10">
      <c r="A10" s="2" t="inlineStr">
        <is>
          <t>A.5.9</t>
        </is>
      </c>
      <c r="B10" s="2" t="inlineStr">
        <is>
          <t>Inventory of information and other associated assets</t>
        </is>
      </c>
      <c r="C10" s="2" t="inlineStr">
        <is>
          <t>Document evidence of implementation</t>
        </is>
      </c>
      <c r="D10" s="2" t="n"/>
      <c r="E10" s="2" t="n"/>
      <c r="F10" s="2" t="n"/>
    </row>
    <row r="11">
      <c r="A11" s="2" t="inlineStr">
        <is>
          <t>A.5.10</t>
        </is>
      </c>
      <c r="B11" s="2" t="inlineStr">
        <is>
          <t>Acceptable use of information and other associated assets</t>
        </is>
      </c>
      <c r="C11" s="2" t="inlineStr">
        <is>
          <t>Document evidence of implementation</t>
        </is>
      </c>
      <c r="D11" s="2" t="n"/>
      <c r="E11" s="2" t="n"/>
      <c r="F11" s="2" t="n"/>
    </row>
    <row r="12">
      <c r="A12" s="2" t="inlineStr">
        <is>
          <t>A.5.11</t>
        </is>
      </c>
      <c r="B12" s="2" t="inlineStr">
        <is>
          <t>Return of assets</t>
        </is>
      </c>
      <c r="C12" s="2" t="inlineStr">
        <is>
          <t>Document evidence of implementation</t>
        </is>
      </c>
      <c r="D12" s="2" t="n"/>
      <c r="E12" s="2" t="n"/>
      <c r="F12" s="2" t="n"/>
    </row>
    <row r="13">
      <c r="A13" s="2" t="inlineStr">
        <is>
          <t>A.5.12</t>
        </is>
      </c>
      <c r="B13" s="2" t="inlineStr">
        <is>
          <t>Classification of information</t>
        </is>
      </c>
      <c r="C13" s="2" t="inlineStr">
        <is>
          <t>Document evidence of implementation</t>
        </is>
      </c>
      <c r="D13" s="2" t="n"/>
      <c r="E13" s="2" t="n"/>
      <c r="F13" s="2" t="n"/>
    </row>
    <row r="14">
      <c r="A14" s="2" t="inlineStr">
        <is>
          <t>A.5.13</t>
        </is>
      </c>
      <c r="B14" s="2" t="inlineStr">
        <is>
          <t>Labelling of information</t>
        </is>
      </c>
      <c r="C14" s="2" t="inlineStr">
        <is>
          <t>Document evidence of implementation</t>
        </is>
      </c>
      <c r="D14" s="2" t="n"/>
      <c r="E14" s="2" t="n"/>
      <c r="F14" s="2" t="n"/>
    </row>
    <row r="15">
      <c r="A15" s="2" t="inlineStr">
        <is>
          <t>A.5.14</t>
        </is>
      </c>
      <c r="B15" s="2" t="inlineStr">
        <is>
          <t>Information transfer</t>
        </is>
      </c>
      <c r="C15" s="2" t="inlineStr">
        <is>
          <t>Document evidence of implementation</t>
        </is>
      </c>
      <c r="D15" s="2" t="n"/>
      <c r="E15" s="2" t="n"/>
      <c r="F15" s="2" t="n"/>
    </row>
    <row r="16">
      <c r="A16" s="2" t="inlineStr">
        <is>
          <t>A.5.15</t>
        </is>
      </c>
      <c r="B16" s="2" t="inlineStr">
        <is>
          <t>Access control</t>
        </is>
      </c>
      <c r="C16" s="2" t="inlineStr">
        <is>
          <t>Document evidence of implementation</t>
        </is>
      </c>
      <c r="D16" s="2" t="n"/>
      <c r="E16" s="2" t="n"/>
      <c r="F16" s="2" t="n"/>
    </row>
    <row r="17">
      <c r="A17" s="2" t="inlineStr">
        <is>
          <t>A.5.16</t>
        </is>
      </c>
      <c r="B17" s="2" t="inlineStr">
        <is>
          <t>Identity management</t>
        </is>
      </c>
      <c r="C17" s="2" t="inlineStr">
        <is>
          <t>Document evidence of implementation</t>
        </is>
      </c>
      <c r="D17" s="2" t="n"/>
      <c r="E17" s="2" t="n"/>
      <c r="F17" s="2" t="n"/>
    </row>
    <row r="18">
      <c r="A18" s="2" t="inlineStr">
        <is>
          <t>A.5.17</t>
        </is>
      </c>
      <c r="B18" s="2" t="inlineStr">
        <is>
          <t>Authentication information</t>
        </is>
      </c>
      <c r="C18" s="2" t="inlineStr">
        <is>
          <t>Document evidence of implementation</t>
        </is>
      </c>
      <c r="D18" s="2" t="n"/>
      <c r="E18" s="2" t="n"/>
      <c r="F18" s="2" t="n"/>
    </row>
    <row r="19">
      <c r="A19" s="2" t="inlineStr">
        <is>
          <t>A.5.18</t>
        </is>
      </c>
      <c r="B19" s="2" t="inlineStr">
        <is>
          <t>Access rights</t>
        </is>
      </c>
      <c r="C19" s="2" t="inlineStr">
        <is>
          <t>Document evidence of implementation</t>
        </is>
      </c>
      <c r="D19" s="2" t="n"/>
      <c r="E19" s="2" t="n"/>
      <c r="F19" s="2" t="n"/>
    </row>
    <row r="20">
      <c r="A20" s="2" t="inlineStr">
        <is>
          <t>A.5.19</t>
        </is>
      </c>
      <c r="B20" s="2" t="inlineStr">
        <is>
          <t>Information security in supplier relationships</t>
        </is>
      </c>
      <c r="C20" s="2" t="inlineStr">
        <is>
          <t>Document evidence of implementation</t>
        </is>
      </c>
      <c r="D20" s="2" t="n"/>
      <c r="E20" s="2" t="n"/>
      <c r="F20" s="2" t="n"/>
    </row>
    <row r="21">
      <c r="A21" s="2" t="inlineStr">
        <is>
          <t>A.5.20</t>
        </is>
      </c>
      <c r="B21" s="2" t="inlineStr">
        <is>
          <t>Addressing information security within supplier agreements</t>
        </is>
      </c>
      <c r="C21" s="2" t="inlineStr">
        <is>
          <t>Document evidence of implementation</t>
        </is>
      </c>
      <c r="D21" s="2" t="n"/>
      <c r="E21" s="2" t="n"/>
      <c r="F21" s="2" t="n"/>
    </row>
    <row r="22">
      <c r="A22" s="2" t="inlineStr">
        <is>
          <t>A.5.21</t>
        </is>
      </c>
      <c r="B22" s="2" t="inlineStr">
        <is>
          <t>Managing information security in the ICT supply chain</t>
        </is>
      </c>
      <c r="C22" s="2" t="inlineStr">
        <is>
          <t>Document evidence of implementation</t>
        </is>
      </c>
      <c r="D22" s="2" t="n"/>
      <c r="E22" s="2" t="n"/>
      <c r="F22" s="2" t="n"/>
    </row>
    <row r="23">
      <c r="A23" s="2" t="inlineStr">
        <is>
          <t>A.5.22</t>
        </is>
      </c>
      <c r="B23" s="2" t="inlineStr">
        <is>
          <t>Monitoring, review and change management of supplier services</t>
        </is>
      </c>
      <c r="C23" s="2" t="inlineStr">
        <is>
          <t>Document evidence of implementation</t>
        </is>
      </c>
      <c r="D23" s="2" t="n"/>
      <c r="E23" s="2" t="n"/>
      <c r="F23" s="2" t="n"/>
    </row>
    <row r="24">
      <c r="A24" s="2" t="inlineStr">
        <is>
          <t>A.5.23</t>
        </is>
      </c>
      <c r="B24" s="2" t="inlineStr">
        <is>
          <t>Information security for use of cloud services</t>
        </is>
      </c>
      <c r="C24" s="2" t="inlineStr">
        <is>
          <t>Document evidence of implementation</t>
        </is>
      </c>
      <c r="D24" s="2" t="n"/>
      <c r="E24" s="2" t="n"/>
      <c r="F24" s="2" t="n"/>
    </row>
    <row r="25">
      <c r="A25" s="2" t="inlineStr">
        <is>
          <t>A.5.24</t>
        </is>
      </c>
      <c r="B25" s="2" t="inlineStr">
        <is>
          <t>Information security incident management planning and preparation</t>
        </is>
      </c>
      <c r="C25" s="2" t="inlineStr">
        <is>
          <t>Document evidence of implementation</t>
        </is>
      </c>
      <c r="D25" s="2" t="n"/>
      <c r="E25" s="2" t="n"/>
      <c r="F25" s="2" t="n"/>
    </row>
    <row r="26">
      <c r="A26" s="2" t="inlineStr">
        <is>
          <t>A.5.25</t>
        </is>
      </c>
      <c r="B26" s="2" t="inlineStr">
        <is>
          <t>Assessment and decision on information security events</t>
        </is>
      </c>
      <c r="C26" s="2" t="inlineStr">
        <is>
          <t>Document evidence of implementation</t>
        </is>
      </c>
      <c r="D26" s="2" t="n"/>
      <c r="E26" s="2" t="n"/>
      <c r="F26" s="2" t="n"/>
    </row>
    <row r="27">
      <c r="A27" s="2" t="inlineStr">
        <is>
          <t>A.5.26</t>
        </is>
      </c>
      <c r="B27" s="2" t="inlineStr">
        <is>
          <t>Response to information security incidents</t>
        </is>
      </c>
      <c r="C27" s="2" t="inlineStr">
        <is>
          <t>Document evidence of implementation</t>
        </is>
      </c>
      <c r="D27" s="2" t="n"/>
      <c r="E27" s="2" t="n"/>
      <c r="F27" s="2" t="n"/>
    </row>
    <row r="28">
      <c r="A28" s="2" t="inlineStr">
        <is>
          <t>A.5.27</t>
        </is>
      </c>
      <c r="B28" s="2" t="inlineStr">
        <is>
          <t>Learning from information security incidents</t>
        </is>
      </c>
      <c r="C28" s="2" t="inlineStr">
        <is>
          <t>Document evidence of implementation</t>
        </is>
      </c>
      <c r="D28" s="2" t="n"/>
      <c r="E28" s="2" t="n"/>
      <c r="F28" s="2" t="n"/>
    </row>
    <row r="29">
      <c r="A29" s="2" t="inlineStr">
        <is>
          <t>A.5.28</t>
        </is>
      </c>
      <c r="B29" s="2" t="inlineStr">
        <is>
          <t>Collection of evidence</t>
        </is>
      </c>
      <c r="C29" s="2" t="inlineStr">
        <is>
          <t>Document evidence of implementation</t>
        </is>
      </c>
      <c r="D29" s="2" t="n"/>
      <c r="E29" s="2" t="n"/>
      <c r="F29" s="2" t="n"/>
    </row>
    <row r="30">
      <c r="A30" s="2" t="inlineStr">
        <is>
          <t>A.5.29</t>
        </is>
      </c>
      <c r="B30" s="2" t="inlineStr">
        <is>
          <t>Information security during disruption</t>
        </is>
      </c>
      <c r="C30" s="2" t="inlineStr">
        <is>
          <t>Document evidence of implementation</t>
        </is>
      </c>
      <c r="D30" s="2" t="n"/>
      <c r="E30" s="2" t="n"/>
      <c r="F30" s="2" t="n"/>
    </row>
    <row r="31">
      <c r="A31" s="2" t="inlineStr">
        <is>
          <t>A.5.30</t>
        </is>
      </c>
      <c r="B31" s="2" t="inlineStr">
        <is>
          <t>ICT readiness for business continuity</t>
        </is>
      </c>
      <c r="C31" s="2" t="inlineStr">
        <is>
          <t>Document evidence of implementation</t>
        </is>
      </c>
      <c r="D31" s="2" t="n"/>
      <c r="E31" s="2" t="n"/>
      <c r="F31" s="2" t="n"/>
    </row>
    <row r="32">
      <c r="A32" s="2" t="inlineStr">
        <is>
          <t>A.5.31</t>
        </is>
      </c>
      <c r="B32" s="2" t="inlineStr">
        <is>
          <t>Legal, statutory, regulatory and contractual requirements</t>
        </is>
      </c>
      <c r="C32" s="2" t="inlineStr">
        <is>
          <t>Document evidence of implementation</t>
        </is>
      </c>
      <c r="D32" s="2" t="n"/>
      <c r="E32" s="2" t="n"/>
      <c r="F32" s="2" t="n"/>
    </row>
    <row r="33">
      <c r="A33" s="2" t="inlineStr">
        <is>
          <t>A.5.32</t>
        </is>
      </c>
      <c r="B33" s="2" t="inlineStr">
        <is>
          <t>Intellectual property rights</t>
        </is>
      </c>
      <c r="C33" s="2" t="inlineStr">
        <is>
          <t>Document evidence of implementation</t>
        </is>
      </c>
      <c r="D33" s="2" t="n"/>
      <c r="E33" s="2" t="n"/>
      <c r="F33" s="2" t="n"/>
    </row>
    <row r="34">
      <c r="A34" s="2" t="inlineStr">
        <is>
          <t>A.5.33</t>
        </is>
      </c>
      <c r="B34" s="2" t="inlineStr">
        <is>
          <t>Protection of records</t>
        </is>
      </c>
      <c r="C34" s="2" t="inlineStr">
        <is>
          <t>Document evidence of implementation</t>
        </is>
      </c>
      <c r="D34" s="2" t="n"/>
      <c r="E34" s="2" t="n"/>
      <c r="F34" s="2" t="n"/>
    </row>
    <row r="35">
      <c r="A35" s="2" t="inlineStr">
        <is>
          <t>A.5.34</t>
        </is>
      </c>
      <c r="B35" s="2" t="inlineStr">
        <is>
          <t>Privacy and protection of PII</t>
        </is>
      </c>
      <c r="C35" s="2" t="inlineStr">
        <is>
          <t>Document evidence of implementation</t>
        </is>
      </c>
      <c r="D35" s="2" t="n"/>
      <c r="E35" s="2" t="n"/>
      <c r="F35" s="2" t="n"/>
    </row>
    <row r="36">
      <c r="A36" s="2" t="inlineStr">
        <is>
          <t>A.5.35</t>
        </is>
      </c>
      <c r="B36" s="2" t="inlineStr">
        <is>
          <t>Independent review of information security</t>
        </is>
      </c>
      <c r="C36" s="2" t="inlineStr">
        <is>
          <t>Document evidence of implementation</t>
        </is>
      </c>
      <c r="D36" s="2" t="n"/>
      <c r="E36" s="2" t="n"/>
      <c r="F36" s="2" t="n"/>
    </row>
    <row r="37">
      <c r="A37" s="2" t="inlineStr">
        <is>
          <t>A.5.36</t>
        </is>
      </c>
      <c r="B37" s="2" t="inlineStr">
        <is>
          <t>Compliance with policies, rules and standards for information security</t>
        </is>
      </c>
      <c r="C37" s="2" t="inlineStr">
        <is>
          <t>Document evidence of implementation</t>
        </is>
      </c>
      <c r="D37" s="2" t="n"/>
      <c r="E37" s="2" t="n"/>
      <c r="F37" s="2" t="n"/>
    </row>
    <row r="38">
      <c r="A38" s="2" t="inlineStr">
        <is>
          <t>A.5.37</t>
        </is>
      </c>
      <c r="B38" s="2" t="inlineStr">
        <is>
          <t>Documented operating procedures</t>
        </is>
      </c>
      <c r="C38" s="2" t="inlineStr">
        <is>
          <t>Document evidence of implementation</t>
        </is>
      </c>
      <c r="D38" s="2" t="n"/>
      <c r="E38" s="2" t="n"/>
      <c r="F38" s="2" t="n"/>
    </row>
    <row r="39">
      <c r="A39" s="2" t="inlineStr">
        <is>
          <t>A.6.1</t>
        </is>
      </c>
      <c r="B39" s="2" t="inlineStr">
        <is>
          <t>Screening</t>
        </is>
      </c>
      <c r="C39" s="2" t="inlineStr">
        <is>
          <t>Document evidence of implementation</t>
        </is>
      </c>
      <c r="D39" s="2" t="n"/>
      <c r="E39" s="2" t="n"/>
      <c r="F39" s="2" t="n"/>
    </row>
    <row r="40">
      <c r="A40" s="2" t="inlineStr">
        <is>
          <t>A.6.2</t>
        </is>
      </c>
      <c r="B40" s="2" t="inlineStr">
        <is>
          <t>Terms and conditions of employment</t>
        </is>
      </c>
      <c r="C40" s="2" t="inlineStr">
        <is>
          <t>Document evidence of implementation</t>
        </is>
      </c>
      <c r="D40" s="2" t="n"/>
      <c r="E40" s="2" t="n"/>
      <c r="F40" s="2" t="n"/>
    </row>
    <row r="41">
      <c r="A41" s="2" t="inlineStr">
        <is>
          <t>A.6.3</t>
        </is>
      </c>
      <c r="B41" s="2" t="inlineStr">
        <is>
          <t>Information security awareness, education and training</t>
        </is>
      </c>
      <c r="C41" s="2" t="inlineStr">
        <is>
          <t>Training program, completion records, assessment results, phishing simulation reports</t>
        </is>
      </c>
      <c r="D41" s="2" t="n"/>
      <c r="E41" s="2" t="n"/>
      <c r="F41" s="2" t="n"/>
    </row>
    <row r="42">
      <c r="A42" s="2" t="inlineStr">
        <is>
          <t>A.6.4</t>
        </is>
      </c>
      <c r="B42" s="2" t="inlineStr">
        <is>
          <t>Disciplinary process</t>
        </is>
      </c>
      <c r="C42" s="2" t="inlineStr">
        <is>
          <t>Document evidence of implementation</t>
        </is>
      </c>
      <c r="D42" s="2" t="n"/>
      <c r="E42" s="2" t="n"/>
      <c r="F42" s="2" t="n"/>
    </row>
    <row r="43">
      <c r="A43" s="2" t="inlineStr">
        <is>
          <t>A.6.5</t>
        </is>
      </c>
      <c r="B43" s="2" t="inlineStr">
        <is>
          <t>Responsibilities after termination or change of employment</t>
        </is>
      </c>
      <c r="C43" s="2" t="inlineStr">
        <is>
          <t>Document evidence of implementation</t>
        </is>
      </c>
      <c r="D43" s="2" t="n"/>
      <c r="E43" s="2" t="n"/>
      <c r="F43" s="2" t="n"/>
    </row>
    <row r="44">
      <c r="A44" s="2" t="inlineStr">
        <is>
          <t>A.6.6</t>
        </is>
      </c>
      <c r="B44" s="2" t="inlineStr">
        <is>
          <t>Confidentiality or non-disclosure agreements</t>
        </is>
      </c>
      <c r="C44" s="2" t="inlineStr">
        <is>
          <t>Document evidence of implementation</t>
        </is>
      </c>
      <c r="D44" s="2" t="n"/>
      <c r="E44" s="2" t="n"/>
      <c r="F44" s="2" t="n"/>
    </row>
    <row r="45">
      <c r="A45" s="2" t="inlineStr">
        <is>
          <t>A.6.7</t>
        </is>
      </c>
      <c r="B45" s="2" t="inlineStr">
        <is>
          <t>Remote working</t>
        </is>
      </c>
      <c r="C45" s="2" t="inlineStr">
        <is>
          <t>Document evidence of implementation</t>
        </is>
      </c>
      <c r="D45" s="2" t="n"/>
      <c r="E45" s="2" t="n"/>
      <c r="F45" s="2" t="n"/>
    </row>
    <row r="46">
      <c r="A46" s="2" t="inlineStr">
        <is>
          <t>A.6.8</t>
        </is>
      </c>
      <c r="B46" s="2" t="inlineStr">
        <is>
          <t>Information security event reporting</t>
        </is>
      </c>
      <c r="C46" s="2" t="inlineStr">
        <is>
          <t>Document evidence of implementation</t>
        </is>
      </c>
      <c r="D46" s="2" t="n"/>
      <c r="E46" s="2" t="n"/>
      <c r="F46" s="2" t="n"/>
    </row>
    <row r="47">
      <c r="A47" s="2" t="inlineStr">
        <is>
          <t>A.7.1</t>
        </is>
      </c>
      <c r="B47" s="2" t="inlineStr">
        <is>
          <t>Physical security perimeters</t>
        </is>
      </c>
      <c r="C47" s="2" t="inlineStr">
        <is>
          <t>Document evidence of implementation</t>
        </is>
      </c>
      <c r="D47" s="2" t="n"/>
      <c r="E47" s="2" t="n"/>
      <c r="F47" s="2" t="n"/>
    </row>
    <row r="48">
      <c r="A48" s="2" t="inlineStr">
        <is>
          <t>A.7.2</t>
        </is>
      </c>
      <c r="B48" s="2" t="inlineStr">
        <is>
          <t>Physical entry</t>
        </is>
      </c>
      <c r="C48" s="2" t="inlineStr">
        <is>
          <t>Document evidence of implementation</t>
        </is>
      </c>
      <c r="D48" s="2" t="n"/>
      <c r="E48" s="2" t="n"/>
      <c r="F48" s="2" t="n"/>
    </row>
    <row r="49">
      <c r="A49" s="2" t="inlineStr">
        <is>
          <t>A.7.3</t>
        </is>
      </c>
      <c r="B49" s="2" t="inlineStr">
        <is>
          <t>Securing offices, rooms and facilities</t>
        </is>
      </c>
      <c r="C49" s="2" t="inlineStr">
        <is>
          <t>Document evidence of implementation</t>
        </is>
      </c>
      <c r="D49" s="2" t="n"/>
      <c r="E49" s="2" t="n"/>
      <c r="F49" s="2" t="n"/>
    </row>
    <row r="50">
      <c r="A50" s="2" t="inlineStr">
        <is>
          <t>A.7.4</t>
        </is>
      </c>
      <c r="B50" s="2" t="inlineStr">
        <is>
          <t>Physical security monitoring</t>
        </is>
      </c>
      <c r="C50" s="2" t="inlineStr">
        <is>
          <t>Document evidence of implementation</t>
        </is>
      </c>
      <c r="D50" s="2" t="n"/>
      <c r="E50" s="2" t="n"/>
      <c r="F50" s="2" t="n"/>
    </row>
    <row r="51">
      <c r="A51" s="2" t="inlineStr">
        <is>
          <t>A.7.5</t>
        </is>
      </c>
      <c r="B51" s="2" t="inlineStr">
        <is>
          <t>Protecting against physical and environmental threats</t>
        </is>
      </c>
      <c r="C51" s="2" t="inlineStr">
        <is>
          <t>Document evidence of implementation</t>
        </is>
      </c>
      <c r="D51" s="2" t="n"/>
      <c r="E51" s="2" t="n"/>
      <c r="F51" s="2" t="n"/>
    </row>
    <row r="52">
      <c r="A52" s="2" t="inlineStr">
        <is>
          <t>A.7.6</t>
        </is>
      </c>
      <c r="B52" s="2" t="inlineStr">
        <is>
          <t>Working in secure areas</t>
        </is>
      </c>
      <c r="C52" s="2" t="inlineStr">
        <is>
          <t>Document evidence of implementation</t>
        </is>
      </c>
      <c r="D52" s="2" t="n"/>
      <c r="E52" s="2" t="n"/>
      <c r="F52" s="2" t="n"/>
    </row>
    <row r="53">
      <c r="A53" s="2" t="inlineStr">
        <is>
          <t>A.7.7</t>
        </is>
      </c>
      <c r="B53" s="2" t="inlineStr">
        <is>
          <t>Clear desk and clear screen</t>
        </is>
      </c>
      <c r="C53" s="2" t="inlineStr">
        <is>
          <t>Document evidence of implementation</t>
        </is>
      </c>
      <c r="D53" s="2" t="n"/>
      <c r="E53" s="2" t="n"/>
      <c r="F53" s="2" t="n"/>
    </row>
    <row r="54">
      <c r="A54" s="2" t="inlineStr">
        <is>
          <t>A.7.8</t>
        </is>
      </c>
      <c r="B54" s="2" t="inlineStr">
        <is>
          <t>Equipment siting and protection</t>
        </is>
      </c>
      <c r="C54" s="2" t="inlineStr">
        <is>
          <t>Document evidence of implementation</t>
        </is>
      </c>
      <c r="D54" s="2" t="n"/>
      <c r="E54" s="2" t="n"/>
      <c r="F54" s="2" t="n"/>
    </row>
    <row r="55">
      <c r="A55" s="2" t="inlineStr">
        <is>
          <t>A.7.9</t>
        </is>
      </c>
      <c r="B55" s="2" t="inlineStr">
        <is>
          <t>Security of assets off-premises</t>
        </is>
      </c>
      <c r="C55" s="2" t="inlineStr">
        <is>
          <t>Document evidence of implementation</t>
        </is>
      </c>
      <c r="D55" s="2" t="n"/>
      <c r="E55" s="2" t="n"/>
      <c r="F55" s="2" t="n"/>
    </row>
    <row r="56">
      <c r="A56" s="2" t="inlineStr">
        <is>
          <t>A.7.10</t>
        </is>
      </c>
      <c r="B56" s="2" t="inlineStr">
        <is>
          <t>Storage media</t>
        </is>
      </c>
      <c r="C56" s="2" t="inlineStr">
        <is>
          <t>Document evidence of implementation</t>
        </is>
      </c>
      <c r="D56" s="2" t="n"/>
      <c r="E56" s="2" t="n"/>
      <c r="F56" s="2" t="n"/>
    </row>
    <row r="57">
      <c r="A57" s="2" t="inlineStr">
        <is>
          <t>A.7.11</t>
        </is>
      </c>
      <c r="B57" s="2" t="inlineStr">
        <is>
          <t>Supporting utilities</t>
        </is>
      </c>
      <c r="C57" s="2" t="inlineStr">
        <is>
          <t>Document evidence of implementation</t>
        </is>
      </c>
      <c r="D57" s="2" t="n"/>
      <c r="E57" s="2" t="n"/>
      <c r="F57" s="2" t="n"/>
    </row>
    <row r="58">
      <c r="A58" s="2" t="inlineStr">
        <is>
          <t>A.7.12</t>
        </is>
      </c>
      <c r="B58" s="2" t="inlineStr">
        <is>
          <t>Cabling security</t>
        </is>
      </c>
      <c r="C58" s="2" t="inlineStr">
        <is>
          <t>Document evidence of implementation</t>
        </is>
      </c>
      <c r="D58" s="2" t="n"/>
      <c r="E58" s="2" t="n"/>
      <c r="F58" s="2" t="n"/>
    </row>
    <row r="59">
      <c r="A59" s="2" t="inlineStr">
        <is>
          <t>A.7.13</t>
        </is>
      </c>
      <c r="B59" s="2" t="inlineStr">
        <is>
          <t>Equipment maintenance</t>
        </is>
      </c>
      <c r="C59" s="2" t="inlineStr">
        <is>
          <t>Document evidence of implementation</t>
        </is>
      </c>
      <c r="D59" s="2" t="n"/>
      <c r="E59" s="2" t="n"/>
      <c r="F59" s="2" t="n"/>
    </row>
    <row r="60">
      <c r="A60" s="2" t="inlineStr">
        <is>
          <t>A.7.14</t>
        </is>
      </c>
      <c r="B60" s="2" t="inlineStr">
        <is>
          <t>Secure disposal or re-use of equipment</t>
        </is>
      </c>
      <c r="C60" s="2" t="inlineStr">
        <is>
          <t>Document evidence of implementation</t>
        </is>
      </c>
      <c r="D60" s="2" t="n"/>
      <c r="E60" s="2" t="n"/>
      <c r="F60" s="2" t="n"/>
    </row>
    <row r="61">
      <c r="A61" s="2" t="inlineStr">
        <is>
          <t>A.8.1</t>
        </is>
      </c>
      <c r="B61" s="2" t="inlineStr">
        <is>
          <t>User endpoint devices</t>
        </is>
      </c>
      <c r="C61" s="2" t="inlineStr">
        <is>
          <t>Document evidence of implementation</t>
        </is>
      </c>
      <c r="D61" s="2" t="n"/>
      <c r="E61" s="2" t="n"/>
      <c r="F61" s="2" t="n"/>
    </row>
    <row r="62">
      <c r="A62" s="2" t="inlineStr">
        <is>
          <t>A.8.2</t>
        </is>
      </c>
      <c r="B62" s="2" t="inlineStr">
        <is>
          <t>Privileged access rights</t>
        </is>
      </c>
      <c r="C62" s="2" t="inlineStr">
        <is>
          <t>Document evidence of implementation</t>
        </is>
      </c>
      <c r="D62" s="2" t="n"/>
      <c r="E62" s="2" t="n"/>
      <c r="F62" s="2" t="n"/>
    </row>
    <row r="63">
      <c r="A63" s="2" t="inlineStr">
        <is>
          <t>A.8.3</t>
        </is>
      </c>
      <c r="B63" s="2" t="inlineStr">
        <is>
          <t>Information access restriction</t>
        </is>
      </c>
      <c r="C63" s="2" t="inlineStr">
        <is>
          <t>Document evidence of implementation</t>
        </is>
      </c>
      <c r="D63" s="2" t="n"/>
      <c r="E63" s="2" t="n"/>
      <c r="F63" s="2" t="n"/>
    </row>
    <row r="64">
      <c r="A64" s="2" t="inlineStr">
        <is>
          <t>A.8.4</t>
        </is>
      </c>
      <c r="B64" s="2" t="inlineStr">
        <is>
          <t>Access to source code</t>
        </is>
      </c>
      <c r="C64" s="2" t="inlineStr">
        <is>
          <t>Document evidence of implementation</t>
        </is>
      </c>
      <c r="D64" s="2" t="n"/>
      <c r="E64" s="2" t="n"/>
      <c r="F64" s="2" t="n"/>
    </row>
    <row r="65">
      <c r="A65" s="2" t="inlineStr">
        <is>
          <t>A.8.5</t>
        </is>
      </c>
      <c r="B65" s="2" t="inlineStr">
        <is>
          <t>Secure authentication</t>
        </is>
      </c>
      <c r="C65" s="2" t="inlineStr">
        <is>
          <t>Document evidence of implementation</t>
        </is>
      </c>
      <c r="D65" s="2" t="n"/>
      <c r="E65" s="2" t="n"/>
      <c r="F65" s="2" t="n"/>
    </row>
    <row r="66">
      <c r="A66" s="2" t="inlineStr">
        <is>
          <t>A.8.6</t>
        </is>
      </c>
      <c r="B66" s="2" t="inlineStr">
        <is>
          <t>Capacity management</t>
        </is>
      </c>
      <c r="C66" s="2" t="inlineStr">
        <is>
          <t>Document evidence of implementation</t>
        </is>
      </c>
      <c r="D66" s="2" t="n"/>
      <c r="E66" s="2" t="n"/>
      <c r="F66" s="2" t="n"/>
    </row>
    <row r="67">
      <c r="A67" s="2" t="inlineStr">
        <is>
          <t>A.8.7</t>
        </is>
      </c>
      <c r="B67" s="2" t="inlineStr">
        <is>
          <t>Protection against malware</t>
        </is>
      </c>
      <c r="C67" s="2" t="inlineStr">
        <is>
          <t>Document evidence of implementation</t>
        </is>
      </c>
      <c r="D67" s="2" t="n"/>
      <c r="E67" s="2" t="n"/>
      <c r="F67" s="2" t="n"/>
    </row>
    <row r="68">
      <c r="A68" s="2" t="inlineStr">
        <is>
          <t>A.8.8</t>
        </is>
      </c>
      <c r="B68" s="2" t="inlineStr">
        <is>
          <t>Management of technical vulnerabilities</t>
        </is>
      </c>
      <c r="C68" s="2" t="inlineStr">
        <is>
          <t>Document evidence of implementation</t>
        </is>
      </c>
      <c r="D68" s="2" t="n"/>
      <c r="E68" s="2" t="n"/>
      <c r="F68" s="2" t="n"/>
    </row>
    <row r="69">
      <c r="A69" s="2" t="inlineStr">
        <is>
          <t>A.8.9</t>
        </is>
      </c>
      <c r="B69" s="2" t="inlineStr">
        <is>
          <t>Configuration management</t>
        </is>
      </c>
      <c r="C69" s="2" t="inlineStr">
        <is>
          <t>Configuration baselines, hardening guides, drift detection reports</t>
        </is>
      </c>
      <c r="D69" s="2" t="n"/>
      <c r="E69" s="2" t="n"/>
      <c r="F69" s="2" t="n"/>
    </row>
    <row r="70">
      <c r="A70" s="2" t="inlineStr">
        <is>
          <t>A.8.10</t>
        </is>
      </c>
      <c r="B70" s="2" t="inlineStr">
        <is>
          <t>Information deletion</t>
        </is>
      </c>
      <c r="C70" s="2" t="inlineStr">
        <is>
          <t>Document evidence of implementation</t>
        </is>
      </c>
      <c r="D70" s="2" t="n"/>
      <c r="E70" s="2" t="n"/>
      <c r="F70" s="2" t="n"/>
    </row>
    <row r="71">
      <c r="A71" s="2" t="inlineStr">
        <is>
          <t>A.8.11</t>
        </is>
      </c>
      <c r="B71" s="2" t="inlineStr">
        <is>
          <t>Data masking</t>
        </is>
      </c>
      <c r="C71" s="2" t="inlineStr">
        <is>
          <t>Document evidence of implementation</t>
        </is>
      </c>
      <c r="D71" s="2" t="n"/>
      <c r="E71" s="2" t="n"/>
      <c r="F71" s="2" t="n"/>
    </row>
    <row r="72">
      <c r="A72" s="2" t="inlineStr">
        <is>
          <t>A.8.12</t>
        </is>
      </c>
      <c r="B72" s="2" t="inlineStr">
        <is>
          <t>Data leakage prevention</t>
        </is>
      </c>
      <c r="C72" s="2" t="inlineStr">
        <is>
          <t>Document evidence of implementation</t>
        </is>
      </c>
      <c r="D72" s="2" t="n"/>
      <c r="E72" s="2" t="n"/>
      <c r="F72" s="2" t="n"/>
    </row>
    <row r="73">
      <c r="A73" s="2" t="inlineStr">
        <is>
          <t>A.8.13</t>
        </is>
      </c>
      <c r="B73" s="2" t="inlineStr">
        <is>
          <t>Information backup</t>
        </is>
      </c>
      <c r="C73" s="2" t="inlineStr">
        <is>
          <t>Backup policy, backup logs, restore test records</t>
        </is>
      </c>
      <c r="D73" s="2" t="n"/>
      <c r="E73" s="2" t="n"/>
      <c r="F73" s="2" t="n"/>
    </row>
    <row r="74">
      <c r="A74" s="2" t="inlineStr">
        <is>
          <t>A.8.14</t>
        </is>
      </c>
      <c r="B74" s="2" t="inlineStr">
        <is>
          <t>Redundancy of information processing facilities</t>
        </is>
      </c>
      <c r="C74" s="2" t="inlineStr">
        <is>
          <t>Document evidence of implementation</t>
        </is>
      </c>
      <c r="D74" s="2" t="n"/>
      <c r="E74" s="2" t="n"/>
      <c r="F74" s="2" t="n"/>
    </row>
    <row r="75">
      <c r="A75" s="2" t="inlineStr">
        <is>
          <t>A.8.15</t>
        </is>
      </c>
      <c r="B75" s="2" t="inlineStr">
        <is>
          <t>Logging</t>
        </is>
      </c>
      <c r="C75" s="2" t="inlineStr">
        <is>
          <t>Document evidence of implementation</t>
        </is>
      </c>
      <c r="D75" s="2" t="n"/>
      <c r="E75" s="2" t="n"/>
      <c r="F75" s="2" t="n"/>
    </row>
    <row r="76">
      <c r="A76" s="2" t="inlineStr">
        <is>
          <t>A.8.16</t>
        </is>
      </c>
      <c r="B76" s="2" t="inlineStr">
        <is>
          <t>Monitoring activities</t>
        </is>
      </c>
      <c r="C76" s="2" t="inlineStr">
        <is>
          <t>SIEM configuration, alert rules, log review records, incident tickets</t>
        </is>
      </c>
      <c r="D76" s="2" t="n"/>
      <c r="E76" s="2" t="n"/>
      <c r="F76" s="2" t="n"/>
    </row>
    <row r="77">
      <c r="A77" s="2" t="inlineStr">
        <is>
          <t>A.8.17</t>
        </is>
      </c>
      <c r="B77" s="2" t="inlineStr">
        <is>
          <t>Clock synchronization</t>
        </is>
      </c>
      <c r="C77" s="2" t="inlineStr">
        <is>
          <t>Document evidence of implementation</t>
        </is>
      </c>
      <c r="D77" s="2" t="n"/>
      <c r="E77" s="2" t="n"/>
      <c r="F77" s="2" t="n"/>
    </row>
    <row r="78">
      <c r="A78" s="2" t="inlineStr">
        <is>
          <t>A.8.18</t>
        </is>
      </c>
      <c r="B78" s="2" t="inlineStr">
        <is>
          <t>Use of privileged utility programs</t>
        </is>
      </c>
      <c r="C78" s="2" t="inlineStr">
        <is>
          <t>Document evidence of implementation</t>
        </is>
      </c>
      <c r="D78" s="2" t="n"/>
      <c r="E78" s="2" t="n"/>
      <c r="F78" s="2" t="n"/>
    </row>
    <row r="79">
      <c r="A79" s="2" t="inlineStr">
        <is>
          <t>A.8.19</t>
        </is>
      </c>
      <c r="B79" s="2" t="inlineStr">
        <is>
          <t>Installation of software on operational systems</t>
        </is>
      </c>
      <c r="C79" s="2" t="inlineStr">
        <is>
          <t>Document evidence of implementation</t>
        </is>
      </c>
      <c r="D79" s="2" t="n"/>
      <c r="E79" s="2" t="n"/>
      <c r="F79" s="2" t="n"/>
    </row>
    <row r="80">
      <c r="A80" s="2" t="inlineStr">
        <is>
          <t>A.8.20</t>
        </is>
      </c>
      <c r="B80" s="2" t="inlineStr">
        <is>
          <t>Networks security</t>
        </is>
      </c>
      <c r="C80" s="2" t="inlineStr">
        <is>
          <t>Document evidence of implementation</t>
        </is>
      </c>
      <c r="D80" s="2" t="n"/>
      <c r="E80" s="2" t="n"/>
      <c r="F80" s="2" t="n"/>
    </row>
    <row r="81">
      <c r="A81" s="2" t="inlineStr">
        <is>
          <t>A.8.21</t>
        </is>
      </c>
      <c r="B81" s="2" t="inlineStr">
        <is>
          <t>Security of network services</t>
        </is>
      </c>
      <c r="C81" s="2" t="inlineStr">
        <is>
          <t>Document evidence of implementation</t>
        </is>
      </c>
      <c r="D81" s="2" t="n"/>
      <c r="E81" s="2" t="n"/>
      <c r="F81" s="2" t="n"/>
    </row>
    <row r="82">
      <c r="A82" s="2" t="inlineStr">
        <is>
          <t>A.8.22</t>
        </is>
      </c>
      <c r="B82" s="2" t="inlineStr">
        <is>
          <t>Segregation of networks</t>
        </is>
      </c>
      <c r="C82" s="2" t="inlineStr">
        <is>
          <t>Document evidence of implementation</t>
        </is>
      </c>
      <c r="D82" s="2" t="n"/>
      <c r="E82" s="2" t="n"/>
      <c r="F82" s="2" t="n"/>
    </row>
    <row r="83">
      <c r="A83" s="2" t="inlineStr">
        <is>
          <t>A.8.23</t>
        </is>
      </c>
      <c r="B83" s="2" t="inlineStr">
        <is>
          <t>Web filtering</t>
        </is>
      </c>
      <c r="C83" s="2" t="inlineStr">
        <is>
          <t>Document evidence of implementation</t>
        </is>
      </c>
      <c r="D83" s="2" t="n"/>
      <c r="E83" s="2" t="n"/>
      <c r="F83" s="2" t="n"/>
    </row>
    <row r="84">
      <c r="A84" s="2" t="inlineStr">
        <is>
          <t>A.8.24</t>
        </is>
      </c>
      <c r="B84" s="2" t="inlineStr">
        <is>
          <t>Use of cryptography</t>
        </is>
      </c>
      <c r="C84" s="2" t="inlineStr">
        <is>
          <t>Document evidence of implementation</t>
        </is>
      </c>
      <c r="D84" s="2" t="n"/>
      <c r="E84" s="2" t="n"/>
      <c r="F84" s="2" t="n"/>
    </row>
    <row r="85">
      <c r="A85" s="2" t="inlineStr">
        <is>
          <t>A.8.25</t>
        </is>
      </c>
      <c r="B85" s="2" t="inlineStr">
        <is>
          <t>Secure development life cycle</t>
        </is>
      </c>
      <c r="C85" s="2" t="inlineStr">
        <is>
          <t>Document evidence of implementation</t>
        </is>
      </c>
      <c r="D85" s="2" t="n"/>
      <c r="E85" s="2" t="n"/>
      <c r="F85" s="2" t="n"/>
    </row>
    <row r="86">
      <c r="A86" s="2" t="inlineStr">
        <is>
          <t>A.8.26</t>
        </is>
      </c>
      <c r="B86" s="2" t="inlineStr">
        <is>
          <t>Application security requirements</t>
        </is>
      </c>
      <c r="C86" s="2" t="inlineStr">
        <is>
          <t>Document evidence of implementation</t>
        </is>
      </c>
      <c r="D86" s="2" t="n"/>
      <c r="E86" s="2" t="n"/>
      <c r="F86" s="2" t="n"/>
    </row>
    <row r="87">
      <c r="A87" s="2" t="inlineStr">
        <is>
          <t>A.8.27</t>
        </is>
      </c>
      <c r="B87" s="2" t="inlineStr">
        <is>
          <t>Secure system architecture and engineering principles</t>
        </is>
      </c>
      <c r="C87" s="2" t="inlineStr">
        <is>
          <t>Document evidence of implementation</t>
        </is>
      </c>
      <c r="D87" s="2" t="n"/>
      <c r="E87" s="2" t="n"/>
      <c r="F87" s="2" t="n"/>
    </row>
    <row r="88">
      <c r="A88" s="2" t="inlineStr">
        <is>
          <t>A.8.28</t>
        </is>
      </c>
      <c r="B88" s="2" t="inlineStr">
        <is>
          <t>Secure coding</t>
        </is>
      </c>
      <c r="C88" s="2" t="inlineStr">
        <is>
          <t>Document evidence of implementation</t>
        </is>
      </c>
      <c r="D88" s="2" t="n"/>
      <c r="E88" s="2" t="n"/>
      <c r="F88" s="2" t="n"/>
    </row>
    <row r="89">
      <c r="A89" s="2" t="inlineStr">
        <is>
          <t>A.8.29</t>
        </is>
      </c>
      <c r="B89" s="2" t="inlineStr">
        <is>
          <t>Security testing in development and acceptance</t>
        </is>
      </c>
      <c r="C89" s="2" t="inlineStr">
        <is>
          <t>Document evidence of implementation</t>
        </is>
      </c>
      <c r="D89" s="2" t="n"/>
      <c r="E89" s="2" t="n"/>
      <c r="F89" s="2" t="n"/>
    </row>
    <row r="90">
      <c r="A90" s="2" t="inlineStr">
        <is>
          <t>A.8.30</t>
        </is>
      </c>
      <c r="B90" s="2" t="inlineStr">
        <is>
          <t>Outsourced development</t>
        </is>
      </c>
      <c r="C90" s="2" t="inlineStr">
        <is>
          <t>Document evidence of implementation</t>
        </is>
      </c>
      <c r="D90" s="2" t="n"/>
      <c r="E90" s="2" t="n"/>
      <c r="F90" s="2" t="n"/>
    </row>
    <row r="91">
      <c r="A91" s="2" t="inlineStr">
        <is>
          <t>A.8.31</t>
        </is>
      </c>
      <c r="B91" s="2" t="inlineStr">
        <is>
          <t>Separation of development, test and production environments</t>
        </is>
      </c>
      <c r="C91" s="2" t="inlineStr">
        <is>
          <t>Document evidence of implementation</t>
        </is>
      </c>
      <c r="D91" s="2" t="n"/>
      <c r="E91" s="2" t="n"/>
      <c r="F91" s="2" t="n"/>
    </row>
    <row r="92">
      <c r="A92" s="2" t="inlineStr">
        <is>
          <t>A.8.32</t>
        </is>
      </c>
      <c r="B92" s="2" t="inlineStr">
        <is>
          <t>Change management</t>
        </is>
      </c>
      <c r="C92" s="2" t="inlineStr">
        <is>
          <t>Document evidence of implementation</t>
        </is>
      </c>
      <c r="D92" s="2" t="n"/>
      <c r="E92" s="2" t="n"/>
      <c r="F92" s="2" t="n"/>
    </row>
    <row r="93">
      <c r="A93" s="2" t="inlineStr">
        <is>
          <t>A.8.33</t>
        </is>
      </c>
      <c r="B93" s="2" t="inlineStr">
        <is>
          <t>Test information</t>
        </is>
      </c>
      <c r="C93" s="2" t="inlineStr">
        <is>
          <t>Document evidence of implementation</t>
        </is>
      </c>
      <c r="D93" s="2" t="n"/>
      <c r="E93" s="2" t="n"/>
      <c r="F93" s="2" t="n"/>
    </row>
    <row r="94">
      <c r="A94" s="2" t="inlineStr">
        <is>
          <t>A.8.34</t>
        </is>
      </c>
      <c r="B94" s="2" t="inlineStr">
        <is>
          <t>Protection of information systems during audit testing</t>
        </is>
      </c>
      <c r="C94" s="2" t="inlineStr">
        <is>
          <t>Document evidence of implementation</t>
        </is>
      </c>
      <c r="D94" s="2" t="n"/>
      <c r="E94" s="2" t="n"/>
      <c r="F94" s="2" t="n"/>
    </row>
  </sheetData>
  <dataValidations count="1">
    <dataValidation sqref="E2:E94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15" customWidth="1" min="4" max="4"/>
  </cols>
  <sheetData>
    <row r="1">
      <c r="A1" s="7" t="inlineStr">
        <is>
          <t>ISO 27001:2022</t>
        </is>
      </c>
      <c r="B1" s="7" t="inlineStr">
        <is>
          <t>2022 Control Name</t>
        </is>
      </c>
      <c r="C1" s="7" t="inlineStr">
        <is>
          <t>ISO 27001:2013</t>
        </is>
      </c>
      <c r="D1" s="7" t="inlineStr">
        <is>
          <t>Change Type</t>
        </is>
      </c>
    </row>
    <row r="2">
      <c r="A2" s="2" t="inlineStr">
        <is>
          <t>A.5.7</t>
        </is>
      </c>
      <c r="B2" s="2" t="inlineStr">
        <is>
          <t>Threat intelligence</t>
        </is>
      </c>
      <c r="C2" s="2" t="inlineStr">
        <is>
          <t>-</t>
        </is>
      </c>
      <c r="D2" s="4" t="inlineStr">
        <is>
          <t>NEW</t>
        </is>
      </c>
    </row>
    <row r="3">
      <c r="A3" s="2" t="inlineStr">
        <is>
          <t>A.5.23</t>
        </is>
      </c>
      <c r="B3" s="2" t="inlineStr">
        <is>
          <t>Information security for use of cloud services</t>
        </is>
      </c>
      <c r="C3" s="2" t="inlineStr">
        <is>
          <t>-</t>
        </is>
      </c>
      <c r="D3" s="4" t="inlineStr">
        <is>
          <t>NEW</t>
        </is>
      </c>
    </row>
    <row r="4">
      <c r="A4" s="2" t="inlineStr">
        <is>
          <t>A.5.30</t>
        </is>
      </c>
      <c r="B4" s="2" t="inlineStr">
        <is>
          <t>ICT readiness for business continuity</t>
        </is>
      </c>
      <c r="C4" s="2" t="inlineStr">
        <is>
          <t>-</t>
        </is>
      </c>
      <c r="D4" s="4" t="inlineStr">
        <is>
          <t>NEW</t>
        </is>
      </c>
    </row>
    <row r="5">
      <c r="A5" s="2" t="inlineStr">
        <is>
          <t>A.7.4</t>
        </is>
      </c>
      <c r="B5" s="2" t="inlineStr">
        <is>
          <t>Physical security monitoring</t>
        </is>
      </c>
      <c r="C5" s="2" t="inlineStr">
        <is>
          <t>-</t>
        </is>
      </c>
      <c r="D5" s="4" t="inlineStr">
        <is>
          <t>NEW</t>
        </is>
      </c>
    </row>
    <row r="6">
      <c r="A6" s="2" t="inlineStr">
        <is>
          <t>A.8.9</t>
        </is>
      </c>
      <c r="B6" s="2" t="inlineStr">
        <is>
          <t>Configuration management</t>
        </is>
      </c>
      <c r="C6" s="2" t="inlineStr">
        <is>
          <t>-</t>
        </is>
      </c>
      <c r="D6" s="4" t="inlineStr">
        <is>
          <t>NEW</t>
        </is>
      </c>
    </row>
    <row r="7">
      <c r="A7" s="2" t="inlineStr">
        <is>
          <t>A.8.10</t>
        </is>
      </c>
      <c r="B7" s="2" t="inlineStr">
        <is>
          <t>Information deletion</t>
        </is>
      </c>
      <c r="C7" s="2" t="inlineStr">
        <is>
          <t>-</t>
        </is>
      </c>
      <c r="D7" s="4" t="inlineStr">
        <is>
          <t>NEW</t>
        </is>
      </c>
    </row>
    <row r="8">
      <c r="A8" s="2" t="inlineStr">
        <is>
          <t>A.8.11</t>
        </is>
      </c>
      <c r="B8" s="2" t="inlineStr">
        <is>
          <t>Data masking</t>
        </is>
      </c>
      <c r="C8" s="2" t="inlineStr">
        <is>
          <t>-</t>
        </is>
      </c>
      <c r="D8" s="4" t="inlineStr">
        <is>
          <t>NEW</t>
        </is>
      </c>
    </row>
    <row r="9">
      <c r="A9" s="2" t="inlineStr">
        <is>
          <t>A.8.12</t>
        </is>
      </c>
      <c r="B9" s="2" t="inlineStr">
        <is>
          <t>Data leakage prevention</t>
        </is>
      </c>
      <c r="C9" s="2" t="inlineStr">
        <is>
          <t>-</t>
        </is>
      </c>
      <c r="D9" s="4" t="inlineStr">
        <is>
          <t>NEW</t>
        </is>
      </c>
    </row>
    <row r="10">
      <c r="A10" s="2" t="inlineStr">
        <is>
          <t>A.8.16</t>
        </is>
      </c>
      <c r="B10" s="2" t="inlineStr">
        <is>
          <t>Monitoring activities</t>
        </is>
      </c>
      <c r="C10" s="2" t="inlineStr">
        <is>
          <t>-</t>
        </is>
      </c>
      <c r="D10" s="4" t="inlineStr">
        <is>
          <t>NEW</t>
        </is>
      </c>
    </row>
    <row r="11">
      <c r="A11" s="2" t="inlineStr">
        <is>
          <t>A.8.23</t>
        </is>
      </c>
      <c r="B11" s="2" t="inlineStr">
        <is>
          <t>Web filtering</t>
        </is>
      </c>
      <c r="C11" s="2" t="inlineStr">
        <is>
          <t>-</t>
        </is>
      </c>
      <c r="D11" s="4" t="inlineStr">
        <is>
          <t>NEW</t>
        </is>
      </c>
    </row>
    <row r="12">
      <c r="A12" s="2" t="inlineStr">
        <is>
          <t>A.8.28</t>
        </is>
      </c>
      <c r="B12" s="2" t="inlineStr">
        <is>
          <t>Secure coding</t>
        </is>
      </c>
      <c r="C12" s="2" t="inlineStr">
        <is>
          <t>-</t>
        </is>
      </c>
      <c r="D12" s="4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2" customWidth="1" min="4" max="4"/>
    <col width="18" customWidth="1" min="5" max="5"/>
    <col width="15" customWidth="1" min="6" max="6"/>
  </cols>
  <sheetData>
    <row r="1">
      <c r="A1" s="8" t="inlineStr">
        <is>
          <t>ISO 27001:2022 Gap Analysis Executive Summary</t>
        </is>
      </c>
    </row>
    <row r="3">
      <c r="A3" s="9" t="inlineStr">
        <is>
          <t>Organization:</t>
        </is>
      </c>
    </row>
    <row r="4">
      <c r="A4" s="9" t="inlineStr">
        <is>
          <t>Assessment Date:</t>
        </is>
      </c>
    </row>
    <row r="5">
      <c r="A5" s="9" t="inlineStr">
        <is>
          <t>Assessor:</t>
        </is>
      </c>
    </row>
    <row r="6">
      <c r="A6" s="9" t="inlineStr">
        <is>
          <t>Scope:</t>
        </is>
      </c>
    </row>
    <row r="8">
      <c r="A8" s="10" t="inlineStr">
        <is>
          <t>Summary by Theme</t>
        </is>
      </c>
    </row>
    <row r="9">
      <c r="A9" s="7" t="inlineStr">
        <is>
          <t>Theme</t>
        </is>
      </c>
      <c r="B9" s="7" t="inlineStr">
        <is>
          <t>Total Controls</t>
        </is>
      </c>
      <c r="C9" s="7" t="inlineStr">
        <is>
          <t>Fully Implemented</t>
        </is>
      </c>
      <c r="D9" s="7" t="inlineStr">
        <is>
          <t>Partially Implemented</t>
        </is>
      </c>
      <c r="E9" s="7" t="inlineStr">
        <is>
          <t>Not Implemented</t>
        </is>
      </c>
      <c r="F9" s="7" t="inlineStr">
        <is>
          <t>Compliance %</t>
        </is>
      </c>
    </row>
    <row r="10">
      <c r="A10" s="2" t="inlineStr">
        <is>
          <t>Organizational</t>
        </is>
      </c>
      <c r="B10" s="2" t="n">
        <v>37</v>
      </c>
      <c r="C10" s="2" t="n"/>
      <c r="D10" s="2" t="n"/>
      <c r="E10" s="2" t="n"/>
      <c r="F10" s="2" t="n"/>
    </row>
    <row r="11">
      <c r="A11" s="2" t="inlineStr">
        <is>
          <t>People</t>
        </is>
      </c>
      <c r="B11" s="2" t="n">
        <v>8</v>
      </c>
      <c r="C11" s="2" t="n"/>
      <c r="D11" s="2" t="n"/>
      <c r="E11" s="2" t="n"/>
      <c r="F11" s="2" t="n"/>
    </row>
    <row r="12">
      <c r="A12" s="2" t="inlineStr">
        <is>
          <t>Physical</t>
        </is>
      </c>
      <c r="B12" s="2" t="n">
        <v>14</v>
      </c>
      <c r="C12" s="2" t="n"/>
      <c r="D12" s="2" t="n"/>
      <c r="E12" s="2" t="n"/>
      <c r="F12" s="2" t="n"/>
    </row>
    <row r="13">
      <c r="A13" s="2" t="inlineStr">
        <is>
          <t>Technological</t>
        </is>
      </c>
      <c r="B13" s="2" t="n">
        <v>34</v>
      </c>
      <c r="C13" s="2" t="n"/>
      <c r="D13" s="2" t="n"/>
      <c r="E13" s="2" t="n"/>
      <c r="F13" s="2" t="n"/>
    </row>
    <row r="15">
      <c r="A15" s="10" t="inlineStr">
        <is>
          <t>Gap Severity Distribution</t>
        </is>
      </c>
    </row>
    <row r="16">
      <c r="A16" s="11" t="inlineStr">
        <is>
          <t>Severity</t>
        </is>
      </c>
      <c r="B16" s="11" t="inlineStr">
        <is>
          <t>Count</t>
        </is>
      </c>
      <c r="C16" s="11" t="inlineStr">
        <is>
          <t>Percentage</t>
        </is>
      </c>
    </row>
    <row r="17">
      <c r="A17" t="inlineStr">
        <is>
          <t>Critical</t>
        </is>
      </c>
    </row>
    <row r="18">
      <c r="A18" t="inlineStr">
        <is>
          <t>High</t>
        </is>
      </c>
    </row>
    <row r="19">
      <c r="A19" t="inlineStr">
        <is>
          <t>Medium</t>
        </is>
      </c>
    </row>
    <row r="20">
      <c r="A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2026-01-01T17:48:22Z</dcterms:created>
  <dcterms:modified xsi:type="dcterms:W3CDTF">2026-01-01T17:48:22Z</dcterms:modified>
</cp:coreProperties>
</file>